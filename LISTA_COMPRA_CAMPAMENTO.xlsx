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LISTA DE LA COMPRA" sheetId="2" state="visible" r:id="rId2"/>
    <sheet xmlns:r="http://schemas.openxmlformats.org/officeDocument/2006/relationships" name="CASTORES" sheetId="3" state="visible" r:id="rId3"/>
    <sheet xmlns:r="http://schemas.openxmlformats.org/officeDocument/2006/relationships" name="LOBATOS" sheetId="4" state="visible" r:id="rId4"/>
    <sheet xmlns:r="http://schemas.openxmlformats.org/officeDocument/2006/relationships" name="EXPLORADORES" sheetId="5" state="visible" r:id="rId5"/>
    <sheet xmlns:r="http://schemas.openxmlformats.org/officeDocument/2006/relationships" name="PIONEROS" sheetId="6" state="visible" r:id="rId6"/>
    <sheet xmlns:r="http://schemas.openxmlformats.org/officeDocument/2006/relationships" name="RUTAS PANDORA" sheetId="7" state="visible" r:id="rId7"/>
    <sheet xmlns:r="http://schemas.openxmlformats.org/officeDocument/2006/relationships" name="RUTAS ICARO" sheetId="8" state="visible" r:id="rId8"/>
    <sheet xmlns:r="http://schemas.openxmlformats.org/officeDocument/2006/relationships" name="ALIMENTACIÓN" sheetId="9" state="visible" r:id="rId9"/>
    <sheet xmlns:r="http://schemas.openxmlformats.org/officeDocument/2006/relationships" name="REPARTO CAJAS" sheetId="10" state="visible" r:id="rId10"/>
  </sheets>
  <definedNames>
    <definedName name="_xlnm._FilterDatabase" localSheetId="1" hidden="1">'LISTA DE LA COMPRA'!$A$1:$L$313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b val="1"/>
    </font>
    <font>
      <name val="Segoe UI"/>
      <i val="1"/>
      <color rgb="00595959"/>
      <sz val="10"/>
    </font>
    <font>
      <name val="Segoe UI"/>
      <b val="1"/>
      <color rgb="001F497D"/>
    </font>
    <font>
      <name val="Segoe UI"/>
      <b val="1"/>
      <color rgb="00C65911"/>
      <sz val="13"/>
    </font>
  </fonts>
  <fills count="7">
    <fill>
      <patternFill/>
    </fill>
    <fill>
      <patternFill patternType="gray125"/>
    </fill>
    <fill>
      <patternFill patternType="solid">
        <fgColor rgb="005B315B"/>
        <bgColor rgb="005B315B"/>
      </patternFill>
    </fill>
    <fill>
      <patternFill patternType="solid">
        <fgColor rgb="001F497D"/>
        <bgColor rgb="001F497D"/>
      </patternFill>
    </fill>
    <fill>
      <patternFill patternType="solid">
        <fgColor rgb="00F2F5F8"/>
        <bgColor rgb="00F2F5F8"/>
      </patternFill>
    </fill>
    <fill>
      <patternFill patternType="solid">
        <fgColor rgb="00375623"/>
        <bgColor rgb="00375623"/>
      </patternFill>
    </fill>
    <fill>
      <patternFill patternType="solid">
        <fgColor rgb="00C65911"/>
        <bgColor rgb="00C6591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0" fillId="0" borderId="1" applyAlignment="1" pivotButton="0" quotePrefix="0" xfId="0">
      <alignment horizontal="center" vertical="center"/>
    </xf>
    <xf numFmtId="0" fontId="3" fillId="0" borderId="0" pivotButton="0" quotePrefix="0" xfId="0"/>
    <xf numFmtId="0" fontId="1" fillId="3"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vertical="top" wrapText="1"/>
    </xf>
    <xf numFmtId="0" fontId="0" fillId="0" borderId="1" pivotButton="0" quotePrefix="0" xfId="0"/>
    <xf numFmtId="0" fontId="2" fillId="4" borderId="1" pivotButton="0" quotePrefix="0" xfId="0"/>
    <xf numFmtId="0" fontId="0" fillId="4" borderId="1" applyAlignment="1" pivotButton="0" quotePrefix="0" xfId="0">
      <alignment horizontal="center" vertical="center"/>
    </xf>
    <xf numFmtId="0" fontId="4" fillId="4" borderId="1" applyAlignment="1" pivotButton="0" quotePrefix="0" xfId="0">
      <alignment horizontal="center" vertical="center"/>
    </xf>
    <xf numFmtId="0" fontId="0" fillId="4" borderId="1" applyAlignment="1" pivotButton="0" quotePrefix="0" xfId="0">
      <alignment vertical="top" wrapText="1"/>
    </xf>
    <xf numFmtId="0" fontId="0" fillId="4" borderId="1" pivotButton="0" quotePrefix="0" xfId="0"/>
    <xf numFmtId="0" fontId="1" fillId="5" borderId="1" applyAlignment="1" pivotButton="0" quotePrefix="0" xfId="0">
      <alignment horizontal="center" vertical="center"/>
    </xf>
    <xf numFmtId="0" fontId="2" fillId="0" borderId="1" applyAlignment="1" pivotButton="0" quotePrefix="0" xfId="0">
      <alignment vertical="top" wrapText="1"/>
    </xf>
    <xf numFmtId="0" fontId="2" fillId="4" borderId="1" applyAlignment="1" pivotButton="0" quotePrefix="0" xfId="0">
      <alignment vertical="top" wrapText="1"/>
    </xf>
    <xf numFmtId="0" fontId="5" fillId="0" borderId="0" pivotButton="0" quotePrefix="0" xfId="0"/>
    <xf numFmtId="0" fontId="1"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5" customWidth="1" min="1" max="1"/>
    <col width="18" customWidth="1" min="2" max="2"/>
  </cols>
  <sheetData>
    <row r="1" ht="28" customHeight="1">
      <c r="A1" s="1" t="inlineStr">
        <is>
          <t>UNIDAD</t>
        </is>
      </c>
      <c r="B1" s="1" t="inlineStr">
        <is>
          <t>N DE NIÑOS</t>
        </is>
      </c>
    </row>
    <row r="2">
      <c r="A2" s="2" t="inlineStr">
        <is>
          <t>CASTORES</t>
        </is>
      </c>
      <c r="B2" s="3" t="inlineStr"/>
    </row>
    <row r="3">
      <c r="A3" s="2" t="inlineStr">
        <is>
          <t>LOBATOS</t>
        </is>
      </c>
      <c r="B3" s="3" t="inlineStr"/>
    </row>
    <row r="4">
      <c r="A4" s="2" t="inlineStr">
        <is>
          <t>EXPLORADORES</t>
        </is>
      </c>
      <c r="B4" s="3" t="inlineStr"/>
    </row>
    <row r="5">
      <c r="A5" s="2" t="inlineStr">
        <is>
          <t>PIONEROS</t>
        </is>
      </c>
      <c r="B5" s="3" t="inlineStr"/>
    </row>
    <row r="6">
      <c r="A6" s="2" t="inlineStr">
        <is>
          <t>RUTAS PANDORA</t>
        </is>
      </c>
      <c r="B6" s="3" t="inlineStr"/>
    </row>
    <row r="7">
      <c r="A7" s="2" t="inlineStr">
        <is>
          <t>RUTAS ICARO</t>
        </is>
      </c>
      <c r="B7" s="3" t="inlineStr"/>
    </row>
    <row r="9">
      <c r="A9" t="inlineStr">
        <is>
          <t>INSTRUCCIONES:</t>
        </is>
      </c>
      <c r="B9" t="inlineStr">
        <is>
          <t>Rellena la columna B con el número de niños de cada unidad para actualizar las cantidades dinámicas.</t>
        </is>
      </c>
    </row>
    <row r="10">
      <c r="B10" s="4" t="n"/>
    </row>
  </sheetData>
  <mergeCells count="1">
    <mergeCell ref="B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3"/>
  <sheetViews>
    <sheetView workbookViewId="0">
      <pane ySplit="1" topLeftCell="A2" activePane="bottomLeft" state="frozen"/>
      <selection pane="bottomLeft" activeCell="A1" sqref="A1"/>
    </sheetView>
  </sheetViews>
  <sheetFormatPr baseColWidth="8" defaultRowHeight="15"/>
  <cols>
    <col width="35" customWidth="1" min="1" max="1"/>
    <col width="24" customWidth="1" min="2" max="2"/>
    <col width="12" customWidth="1" min="3" max="3"/>
    <col width="12" customWidth="1" min="4" max="4"/>
    <col width="12" customWidth="1" min="5" max="5"/>
    <col width="22" customWidth="1" min="6" max="6"/>
    <col width="12" customWidth="1" min="7" max="7"/>
    <col width="12" customWidth="1" min="8" max="8"/>
    <col width="24" customWidth="1" min="9" max="9"/>
    <col width="70" customWidth="1" min="10" max="10"/>
    <col width="10" customWidth="1" min="11" max="11"/>
    <col width="12" customWidth="1" min="12" max="12"/>
  </cols>
  <sheetData>
    <row r="1" ht="28" customHeight="1">
      <c r="A1" s="5" t="inlineStr">
        <is>
          <t>MATERIAL</t>
        </is>
      </c>
      <c r="B1" s="5" t="inlineStr">
        <is>
          <t>CATEGORÍA</t>
        </is>
      </c>
      <c r="C1" s="5" t="inlineStr">
        <is>
          <t>TOTAL</t>
        </is>
      </c>
      <c r="D1" s="5" t="inlineStr">
        <is>
          <t>CASTORES</t>
        </is>
      </c>
      <c r="E1" s="5" t="inlineStr">
        <is>
          <t>LOBATOS</t>
        </is>
      </c>
      <c r="F1" s="5" t="inlineStr">
        <is>
          <t>EXPLORADORES (TROPA)</t>
        </is>
      </c>
      <c r="G1" s="5" t="inlineStr">
        <is>
          <t>PIONEROS</t>
        </is>
      </c>
      <c r="H1" s="5" t="inlineStr">
        <is>
          <t>RUTAS</t>
        </is>
      </c>
      <c r="I1" s="5" t="inlineStr">
        <is>
          <t>TIPO</t>
        </is>
      </c>
      <c r="J1" s="5" t="inlineStr">
        <is>
          <t>DETALLE (texto literal por actividad)</t>
        </is>
      </c>
      <c r="K1" s="5" t="inlineStr">
        <is>
          <t>CAJA</t>
        </is>
      </c>
      <c r="L1" s="5" t="inlineStr">
        <is>
          <t>COMPRADO ✓</t>
        </is>
      </c>
    </row>
    <row r="2">
      <c r="A2" s="2" t="inlineStr">
        <is>
          <t>(De la descripción) Garbanzos dorados (rupias)</t>
        </is>
      </c>
      <c r="B2" s="3" t="inlineStr">
        <is>
          <t>Otros</t>
        </is>
      </c>
      <c r="C2" s="6">
        <f>SUM(D2:H2)</f>
        <v/>
      </c>
      <c r="D2" s="3" t="n">
        <v>0</v>
      </c>
      <c r="E2" s="3" t="n">
        <v>1</v>
      </c>
      <c r="F2" s="3" t="n">
        <v>0</v>
      </c>
      <c r="G2" s="3" t="n">
        <v>0</v>
      </c>
      <c r="H2" s="3" t="n">
        <v>0</v>
      </c>
      <c r="I2" s="3" t="inlineStr">
        <is>
          <t>YA HAY (bases) - revisar</t>
        </is>
      </c>
      <c r="J2" s="7" t="inlineStr">
        <is>
          <t>LOBATOS - GRUPAL: Barracas - El Gran Bazar (D-26/07 tarde): «(De la descripción) Garbanzos dorados (rupias)»</t>
        </is>
      </c>
      <c r="K2" s="8" t="inlineStr"/>
      <c r="L2" s="8" t="inlineStr"/>
    </row>
    <row r="3">
      <c r="A3" s="9" t="inlineStr">
        <is>
          <t>(Lo trae el niño) Botella de agua</t>
        </is>
      </c>
      <c r="B3" s="10" t="inlineStr">
        <is>
          <t>Otros</t>
        </is>
      </c>
      <c r="C3" s="11">
        <f>SUM(D3:H3)</f>
        <v/>
      </c>
      <c r="D3" s="10" t="n">
        <v>0</v>
      </c>
      <c r="E3" s="10" t="n">
        <v>1</v>
      </c>
      <c r="F3" s="10" t="n">
        <v>0</v>
      </c>
      <c r="G3" s="10" t="n">
        <v>0</v>
      </c>
      <c r="H3" s="10" t="n">
        <v>0</v>
      </c>
      <c r="I3" s="10" t="inlineStr">
        <is>
          <t>YA HAY (bases) - revisar</t>
        </is>
      </c>
      <c r="J3" s="12" t="inlineStr">
        <is>
          <t>LOBATOS - Voluntariado conjunto Lobatos-Pioneros (J-23/07 mañana): «(Lo trae el niño) Botella de agua»</t>
        </is>
      </c>
      <c r="K3" s="13" t="inlineStr"/>
      <c r="L3" s="13" t="inlineStr"/>
    </row>
    <row r="4">
      <c r="A4" s="2" t="inlineStr">
        <is>
          <t>(Se encarga la unidad) Cuadrilátero</t>
        </is>
      </c>
      <c r="B4" s="3" t="inlineStr">
        <is>
          <t>Otros</t>
        </is>
      </c>
      <c r="C4" s="6">
        <f>SUM(D4:H4)</f>
        <v/>
      </c>
      <c r="D4" s="3" t="n">
        <v>0</v>
      </c>
      <c r="E4" s="3" t="n">
        <v>0</v>
      </c>
      <c r="F4" s="3" t="n">
        <v>1</v>
      </c>
      <c r="G4" s="3" t="n">
        <v>0</v>
      </c>
      <c r="H4" s="3" t="n">
        <v>0</v>
      </c>
      <c r="I4" s="3" t="inlineStr">
        <is>
          <t>YA HAY (bases) - revisar</t>
        </is>
      </c>
      <c r="J4" s="7" t="inlineStr">
        <is>
          <t>EXPLORADORES - FELSA (V-24/07 tarde 1): «(Se encarga la unidad) Cuadrilátero»</t>
        </is>
      </c>
      <c r="K4" s="8" t="inlineStr"/>
      <c r="L4" s="8" t="inlineStr"/>
    </row>
    <row r="5">
      <c r="A5" s="9" t="inlineStr">
        <is>
          <t>(Se encarga la unidad) Cuadrilátero acabado</t>
        </is>
      </c>
      <c r="B5" s="10" t="inlineStr">
        <is>
          <t>Otros</t>
        </is>
      </c>
      <c r="C5" s="11">
        <f>SUM(D5:H5)</f>
        <v/>
      </c>
      <c r="D5" s="10" t="n">
        <v>0</v>
      </c>
      <c r="E5" s="10" t="n">
        <v>0</v>
      </c>
      <c r="F5" s="10" t="n">
        <v>1</v>
      </c>
      <c r="G5" s="10" t="n">
        <v>0</v>
      </c>
      <c r="H5" s="10" t="n">
        <v>0</v>
      </c>
      <c r="I5" s="10" t="inlineStr">
        <is>
          <t>YA HAY (bases) - revisar</t>
        </is>
      </c>
      <c r="J5" s="12" t="inlineStr">
        <is>
          <t>EXPLORADORES - Inauguración de la FELSA (V-17/07 tarde 2): «(Se encarga la unidad) Cuadrilátero acabado»</t>
        </is>
      </c>
      <c r="K5" s="13" t="inlineStr"/>
      <c r="L5" s="13" t="inlineStr"/>
    </row>
    <row r="6">
      <c r="A6" s="2" t="inlineStr">
        <is>
          <t>(Sin material listado)</t>
        </is>
      </c>
      <c r="B6" s="3" t="inlineStr">
        <is>
          <t>Otros</t>
        </is>
      </c>
      <c r="C6" s="6">
        <f>SUM(D6:H6)</f>
        <v/>
      </c>
      <c r="D6" s="3" t="n">
        <v>0</v>
      </c>
      <c r="E6" s="3" t="n">
        <v>0</v>
      </c>
      <c r="F6" s="3" t="n">
        <v>0</v>
      </c>
      <c r="G6" s="3" t="n">
        <v>0</v>
      </c>
      <c r="H6" s="3" t="n">
        <v>1</v>
      </c>
      <c r="I6" s="3" t="inlineStr">
        <is>
          <t>YA HAY (bases) - revisar</t>
        </is>
      </c>
      <c r="J6" s="7" t="inlineStr">
        <is>
          <t>RUTAS ICARO - Stalking con Pandora y pipis (D-26/07 noche): «(Sin material listado)»</t>
        </is>
      </c>
      <c r="K6" s="8" t="inlineStr"/>
      <c r="L6" s="8" t="inlineStr"/>
    </row>
    <row r="7">
      <c r="A7" s="9" t="inlineStr">
        <is>
          <t>1 bote de espárragos</t>
        </is>
      </c>
      <c r="B7" s="10" t="inlineStr">
        <is>
          <t>Otros</t>
        </is>
      </c>
      <c r="C7" s="11">
        <f>SUM(D7:H7)</f>
        <v/>
      </c>
      <c r="D7" s="10" t="n">
        <v>0</v>
      </c>
      <c r="E7" s="10" t="n">
        <v>0</v>
      </c>
      <c r="F7" s="10" t="n">
        <v>1</v>
      </c>
      <c r="G7" s="10" t="n">
        <v>0</v>
      </c>
      <c r="H7" s="10" t="n">
        <v>0</v>
      </c>
      <c r="I7" s="10" t="inlineStr">
        <is>
          <t>YA HAY (bases) - revisar</t>
        </is>
      </c>
      <c r="J7" s="12" t="inlineStr">
        <is>
          <t>EXPLORADORES - Velada de terror (X-22/07 noche): «1 bote de espárragos»</t>
        </is>
      </c>
      <c r="K7" s="13" t="inlineStr"/>
      <c r="L7" s="13" t="inlineStr"/>
    </row>
    <row r="8">
      <c r="A8" s="2" t="inlineStr">
        <is>
          <t>1 caja</t>
        </is>
      </c>
      <c r="B8" s="3" t="inlineStr">
        <is>
          <t>Otros</t>
        </is>
      </c>
      <c r="C8" s="6">
        <f>SUM(D8:H8)</f>
        <v/>
      </c>
      <c r="D8" s="3" t="n">
        <v>0</v>
      </c>
      <c r="E8" s="3" t="n">
        <v>0</v>
      </c>
      <c r="F8" s="3" t="n">
        <v>1</v>
      </c>
      <c r="G8" s="3" t="n">
        <v>0</v>
      </c>
      <c r="H8" s="3" t="n">
        <v>0</v>
      </c>
      <c r="I8" s="3" t="inlineStr">
        <is>
          <t>YA HAY (bases) - revisar</t>
        </is>
      </c>
      <c r="J8" s="7" t="inlineStr">
        <is>
          <t>EXPLORADORES - Velada de terror (X-22/07 noche): «1 caja»</t>
        </is>
      </c>
      <c r="K8" s="8" t="inlineStr"/>
      <c r="L8" s="8" t="inlineStr"/>
    </row>
    <row r="9">
      <c r="A9" s="9" t="inlineStr">
        <is>
          <t>1 llave</t>
        </is>
      </c>
      <c r="B9" s="10" t="inlineStr">
        <is>
          <t>Otros</t>
        </is>
      </c>
      <c r="C9" s="11">
        <f>SUM(D9:H9)</f>
        <v/>
      </c>
      <c r="D9" s="10" t="n">
        <v>0</v>
      </c>
      <c r="E9" s="10" t="n">
        <v>0</v>
      </c>
      <c r="F9" s="10" t="n">
        <v>1</v>
      </c>
      <c r="G9" s="10" t="n">
        <v>0</v>
      </c>
      <c r="H9" s="10" t="n">
        <v>0</v>
      </c>
      <c r="I9" s="10" t="inlineStr">
        <is>
          <t>YA HAY (bases) - revisar</t>
        </is>
      </c>
      <c r="J9" s="12" t="inlineStr">
        <is>
          <t>EXPLORADORES - Velada de terror (X-22/07 noche): «1 llave»</t>
        </is>
      </c>
      <c r="K9" s="13" t="inlineStr"/>
      <c r="L9" s="13" t="inlineStr"/>
    </row>
    <row r="10">
      <c r="A10" s="2" t="inlineStr">
        <is>
          <t>1 paquete de chía</t>
        </is>
      </c>
      <c r="B10" s="3" t="inlineStr">
        <is>
          <t>Otros</t>
        </is>
      </c>
      <c r="C10" s="6">
        <f>SUM(D10:H10)</f>
        <v/>
      </c>
      <c r="D10" s="3" t="n">
        <v>0</v>
      </c>
      <c r="E10" s="3" t="n">
        <v>0</v>
      </c>
      <c r="F10" s="3" t="n">
        <v>1</v>
      </c>
      <c r="G10" s="3" t="n">
        <v>0</v>
      </c>
      <c r="H10" s="3" t="n">
        <v>0</v>
      </c>
      <c r="I10" s="3" t="inlineStr">
        <is>
          <t>YA HAY (bases) - revisar</t>
        </is>
      </c>
      <c r="J10" s="7" t="inlineStr">
        <is>
          <t>EXPLORADORES - Velada de terror (X-22/07 noche): «1 paquete de chía»</t>
        </is>
      </c>
      <c r="K10" s="8" t="inlineStr"/>
      <c r="L10" s="8" t="inlineStr"/>
    </row>
    <row r="11">
      <c r="A11" s="9" t="inlineStr">
        <is>
          <t>10 mantas</t>
        </is>
      </c>
      <c r="B11" s="10" t="inlineStr">
        <is>
          <t>Otros</t>
        </is>
      </c>
      <c r="C11" s="11">
        <f>SUM(D11:H11)</f>
        <v/>
      </c>
      <c r="D11" s="10" t="n">
        <v>0</v>
      </c>
      <c r="E11" s="10" t="n">
        <v>0</v>
      </c>
      <c r="F11" s="10" t="n">
        <v>10</v>
      </c>
      <c r="G11" s="10" t="n">
        <v>0</v>
      </c>
      <c r="H11" s="10" t="n">
        <v>0</v>
      </c>
      <c r="I11" s="10" t="inlineStr">
        <is>
          <t>YA HAY (bases) - revisar</t>
        </is>
      </c>
      <c r="J11" s="12" t="inlineStr">
        <is>
          <t>EXPLORADORES - Velada de terror (X-22/07 noche): «10 mantas»</t>
        </is>
      </c>
      <c r="K11" s="13" t="inlineStr"/>
      <c r="L11" s="13" t="inlineStr"/>
    </row>
    <row r="12">
      <c r="A12" s="2" t="inlineStr">
        <is>
          <t>150 globos</t>
        </is>
      </c>
      <c r="B12" s="3" t="inlineStr">
        <is>
          <t>Otros</t>
        </is>
      </c>
      <c r="C12" s="6">
        <f>SUM(D12:H12)</f>
        <v/>
      </c>
      <c r="D12" s="3" t="n">
        <v>150</v>
      </c>
      <c r="E12" s="3" t="n">
        <v>0</v>
      </c>
      <c r="F12" s="3" t="n">
        <v>0</v>
      </c>
      <c r="G12" s="3" t="n">
        <v>0</v>
      </c>
      <c r="H12" s="3" t="n">
        <v>0</v>
      </c>
      <c r="I12" s="3" t="inlineStr">
        <is>
          <t>YA HAY (bases) - revisar</t>
        </is>
      </c>
      <c r="J12" s="7" t="inlineStr">
        <is>
          <t>CASTORES - T.E.G.A. (Torneo de Globos) (V-17/07 tarde 2): «150 globos»</t>
        </is>
      </c>
      <c r="K12" s="8" t="inlineStr"/>
      <c r="L12" s="8" t="inlineStr"/>
    </row>
    <row r="13">
      <c r="A13" s="9" t="inlineStr">
        <is>
          <t>2 barreños</t>
        </is>
      </c>
      <c r="B13" s="10" t="inlineStr">
        <is>
          <t>Otros</t>
        </is>
      </c>
      <c r="C13" s="11">
        <f>SUM(D13:H13)</f>
        <v/>
      </c>
      <c r="D13" s="10" t="n">
        <v>2</v>
      </c>
      <c r="E13" s="10" t="n">
        <v>0</v>
      </c>
      <c r="F13" s="10" t="n">
        <v>0</v>
      </c>
      <c r="G13" s="10" t="n">
        <v>0</v>
      </c>
      <c r="H13" s="10" t="n">
        <v>0</v>
      </c>
      <c r="I13" s="10" t="inlineStr">
        <is>
          <t>YA HAY (bases) - revisar</t>
        </is>
      </c>
      <c r="J13" s="12" t="inlineStr">
        <is>
          <t>CASTORES - Actividad de agua: El descenso del Ganges (V-24/07 mañana): «2 barreños»</t>
        </is>
      </c>
      <c r="K13" s="13" t="inlineStr"/>
      <c r="L13" s="13" t="inlineStr"/>
    </row>
    <row r="14">
      <c r="A14" s="2" t="inlineStr">
        <is>
          <t>2 lumis</t>
        </is>
      </c>
      <c r="B14" s="3" t="inlineStr">
        <is>
          <t>Otros</t>
        </is>
      </c>
      <c r="C14" s="6">
        <f>SUM(D14:H14)</f>
        <v/>
      </c>
      <c r="D14" s="3" t="n">
        <v>0</v>
      </c>
      <c r="E14" s="3" t="n">
        <v>2</v>
      </c>
      <c r="F14" s="3" t="n">
        <v>0</v>
      </c>
      <c r="G14" s="3" t="n">
        <v>0</v>
      </c>
      <c r="H14" s="3" t="n">
        <v>0</v>
      </c>
      <c r="I14" s="3" t="inlineStr">
        <is>
          <t>YA HAY (bases) - revisar</t>
        </is>
      </c>
      <c r="J14" s="7" t="inlineStr">
        <is>
          <t>LOBATOS - Roca del Consejo (V-24/07 noche): «2 lumis»</t>
        </is>
      </c>
      <c r="K14" s="8" t="inlineStr"/>
      <c r="L14" s="8" t="inlineStr"/>
    </row>
    <row r="15">
      <c r="A15" s="9" t="inlineStr">
        <is>
          <t>2 pechugas de pollo</t>
        </is>
      </c>
      <c r="B15" s="10" t="inlineStr">
        <is>
          <t>Otros</t>
        </is>
      </c>
      <c r="C15" s="11">
        <f>SUM(D15:H15)</f>
        <v/>
      </c>
      <c r="D15" s="10" t="n">
        <v>0</v>
      </c>
      <c r="E15" s="10" t="n">
        <v>0</v>
      </c>
      <c r="F15" s="10" t="n">
        <v>0</v>
      </c>
      <c r="G15" s="10" t="n">
        <v>0</v>
      </c>
      <c r="H15" s="10" t="n">
        <v>2</v>
      </c>
      <c r="I15" s="10" t="inlineStr">
        <is>
          <t>YA HAY (bases) - revisar</t>
        </is>
      </c>
      <c r="J15" s="12" t="inlineStr">
        <is>
          <t>RUTAS PANDORA - Cocina con hándicaps (gyozas/empanadillas) (J-23/07): «2 pechugas de pollo»</t>
        </is>
      </c>
      <c r="K15" s="13" t="inlineStr"/>
      <c r="L15" s="13" t="inlineStr"/>
    </row>
    <row r="16">
      <c r="A16" s="2" t="inlineStr">
        <is>
          <t>2 rollos de pita grandes</t>
        </is>
      </c>
      <c r="B16" s="3" t="inlineStr">
        <is>
          <t>Otros</t>
        </is>
      </c>
      <c r="C16" s="6">
        <f>SUM(D16:H16)</f>
        <v/>
      </c>
      <c r="D16" s="3" t="n">
        <v>0</v>
      </c>
      <c r="E16" s="3" t="n">
        <v>0</v>
      </c>
      <c r="F16" s="3" t="n">
        <v>2</v>
      </c>
      <c r="G16" s="3" t="n">
        <v>0</v>
      </c>
      <c r="H16" s="3" t="n">
        <v>0</v>
      </c>
      <c r="I16" s="3" t="inlineStr">
        <is>
          <t>YA HAY (bases) - revisar</t>
        </is>
      </c>
      <c r="J16" s="7" t="inlineStr">
        <is>
          <t>EXPLORADORES - Construcciones rústicas (J-16/07 mañana+tarde): «2 rollos de pita grandes»</t>
        </is>
      </c>
      <c r="K16" s="8" t="inlineStr"/>
      <c r="L16" s="8" t="inlineStr"/>
    </row>
    <row r="17">
      <c r="A17" s="9" t="inlineStr">
        <is>
          <t>2 rotuladores</t>
        </is>
      </c>
      <c r="B17" s="10" t="inlineStr">
        <is>
          <t>Otros</t>
        </is>
      </c>
      <c r="C17" s="11">
        <f>SUM(D17:H17)</f>
        <v/>
      </c>
      <c r="D17" s="10" t="n">
        <v>0</v>
      </c>
      <c r="E17" s="10" t="n">
        <v>0</v>
      </c>
      <c r="F17" s="10" t="n">
        <v>2</v>
      </c>
      <c r="G17" s="10" t="n">
        <v>0</v>
      </c>
      <c r="H17" s="10" t="n">
        <v>0</v>
      </c>
      <c r="I17" s="10" t="inlineStr">
        <is>
          <t>YA HAY (bases) - revisar</t>
        </is>
      </c>
      <c r="J17" s="12" t="inlineStr">
        <is>
          <t>EXPLORADORES - Velada de código morse (V-17/07 noche): «2 rotuladores»</t>
        </is>
      </c>
      <c r="K17" s="13" t="inlineStr"/>
      <c r="L17" s="13" t="inlineStr"/>
    </row>
    <row r="18">
      <c r="A18" s="2" t="inlineStr">
        <is>
          <t>2 sillas</t>
        </is>
      </c>
      <c r="B18" s="3" t="inlineStr">
        <is>
          <t>Otros</t>
        </is>
      </c>
      <c r="C18" s="6">
        <f>SUM(D18:H18)</f>
        <v/>
      </c>
      <c r="D18" s="3" t="n">
        <v>2</v>
      </c>
      <c r="E18" s="3" t="n">
        <v>0</v>
      </c>
      <c r="F18" s="3" t="n">
        <v>0</v>
      </c>
      <c r="G18" s="3" t="n">
        <v>0</v>
      </c>
      <c r="H18" s="3" t="n">
        <v>0</v>
      </c>
      <c r="I18" s="3" t="inlineStr">
        <is>
          <t>YA HAY (bases) - revisar</t>
        </is>
      </c>
      <c r="J18" s="7" t="inlineStr">
        <is>
          <t>CASTORES - Actividad de agua: El descenso del Ganges (V-24/07 mañana): «2 sillas»</t>
        </is>
      </c>
      <c r="K18" s="8" t="inlineStr"/>
      <c r="L18" s="8" t="inlineStr"/>
    </row>
    <row r="19">
      <c r="A19" s="9" t="inlineStr">
        <is>
          <t>20 esponjas de las que pesan con agua</t>
        </is>
      </c>
      <c r="B19" s="10" t="inlineStr">
        <is>
          <t>Otros</t>
        </is>
      </c>
      <c r="C19" s="11">
        <f>SUM(D19:H19)</f>
        <v/>
      </c>
      <c r="D19" s="10" t="n">
        <v>20</v>
      </c>
      <c r="E19" s="10" t="n">
        <v>0</v>
      </c>
      <c r="F19" s="10" t="n">
        <v>0</v>
      </c>
      <c r="G19" s="10" t="n">
        <v>0</v>
      </c>
      <c r="H19" s="10" t="n">
        <v>0</v>
      </c>
      <c r="I19" s="10" t="inlineStr">
        <is>
          <t>YA HAY (bases) - revisar</t>
        </is>
      </c>
      <c r="J19" s="12" t="inlineStr">
        <is>
          <t>CASTORES - Actividad de agua: El descenso del Ganges (V-24/07 mañana): «20 esponjas de las que pesan con agua»</t>
        </is>
      </c>
      <c r="K19" s="13" t="inlineStr"/>
      <c r="L19" s="13" t="inlineStr"/>
    </row>
    <row r="20">
      <c r="A20" s="2" t="inlineStr">
        <is>
          <t>3 cilindros con dibujos (tragaperras)</t>
        </is>
      </c>
      <c r="B20" s="3" t="inlineStr">
        <is>
          <t>Otros</t>
        </is>
      </c>
      <c r="C20" s="6">
        <f>SUM(D20:H20)</f>
        <v/>
      </c>
      <c r="D20" s="3" t="n">
        <v>0</v>
      </c>
      <c r="E20" s="3" t="n">
        <v>3</v>
      </c>
      <c r="F20" s="3" t="n">
        <v>0</v>
      </c>
      <c r="G20" s="3" t="n">
        <v>0</v>
      </c>
      <c r="H20" s="3" t="n">
        <v>0</v>
      </c>
      <c r="I20" s="3" t="inlineStr">
        <is>
          <t>YA HAY (bases) - revisar</t>
        </is>
      </c>
      <c r="J20" s="7" t="inlineStr">
        <is>
          <t>LOBATOS - GRUPAL: Barracas - El Gran Bazar (D-26/07 tarde): «3 cilindros con dibujos (tragaperras)»</t>
        </is>
      </c>
      <c r="K20" s="8" t="inlineStr"/>
      <c r="L20" s="8" t="inlineStr"/>
    </row>
    <row r="21">
      <c r="A21" s="9" t="inlineStr">
        <is>
          <t>3 mantas</t>
        </is>
      </c>
      <c r="B21" s="10" t="inlineStr">
        <is>
          <t>Otros</t>
        </is>
      </c>
      <c r="C21" s="11">
        <f>SUM(D21:H21)</f>
        <v/>
      </c>
      <c r="D21" s="10" t="n">
        <v>3</v>
      </c>
      <c r="E21" s="10" t="n">
        <v>0</v>
      </c>
      <c r="F21" s="10" t="n">
        <v>0</v>
      </c>
      <c r="G21" s="10" t="n">
        <v>0</v>
      </c>
      <c r="H21" s="10" t="n">
        <v>0</v>
      </c>
      <c r="I21" s="10" t="inlineStr">
        <is>
          <t>YA HAY (bases) - revisar</t>
        </is>
      </c>
      <c r="J21" s="12" t="inlineStr">
        <is>
          <t>CASTORES - Taller constelaciones (S-18/07 noche): «3 mantas»</t>
        </is>
      </c>
      <c r="K21" s="13" t="inlineStr"/>
      <c r="L21" s="13" t="inlineStr"/>
    </row>
    <row r="22">
      <c r="A22" s="2" t="inlineStr">
        <is>
          <t>30 pinzas de 3 colores distintos (10 de cada)</t>
        </is>
      </c>
      <c r="B22" s="3" t="inlineStr">
        <is>
          <t>Otros</t>
        </is>
      </c>
      <c r="C22" s="6">
        <f>SUM(D22:H22)</f>
        <v/>
      </c>
      <c r="D22" s="3" t="n">
        <v>0</v>
      </c>
      <c r="E22" s="3" t="n">
        <v>0</v>
      </c>
      <c r="F22" s="3" t="n">
        <v>30</v>
      </c>
      <c r="G22" s="3" t="n">
        <v>0</v>
      </c>
      <c r="H22" s="3" t="n">
        <v>0</v>
      </c>
      <c r="I22" s="3" t="inlineStr">
        <is>
          <t>YA HAY (bases) - revisar</t>
        </is>
      </c>
      <c r="J22" s="7" t="inlineStr">
        <is>
          <t>EXPLORADORES - Juegos (Tropiolimpiadas - cerbatanas) (J-16/07 tarde): «30 pinzas de 3 colores distintos (10 de cada)»</t>
        </is>
      </c>
      <c r="K22" s="8" t="inlineStr"/>
      <c r="L22" s="8" t="inlineStr"/>
    </row>
    <row r="23">
      <c r="A23" s="9" t="inlineStr">
        <is>
          <t>4 botellas pequeñas</t>
        </is>
      </c>
      <c r="B23" s="10" t="inlineStr">
        <is>
          <t>Otros</t>
        </is>
      </c>
      <c r="C23" s="11">
        <f>SUM(D23:H23)</f>
        <v/>
      </c>
      <c r="D23" s="10" t="n">
        <v>4</v>
      </c>
      <c r="E23" s="10" t="n">
        <v>0</v>
      </c>
      <c r="F23" s="10" t="n">
        <v>0</v>
      </c>
      <c r="G23" s="10" t="n">
        <v>0</v>
      </c>
      <c r="H23" s="10" t="n">
        <v>0</v>
      </c>
      <c r="I23" s="10" t="inlineStr">
        <is>
          <t>YA HAY (bases) - revisar</t>
        </is>
      </c>
      <c r="J23" s="12" t="inlineStr">
        <is>
          <t>CASTORES - Actividad de agua: El descenso del Ganges (V-24/07 mañana): «4 botellas pequeñas»</t>
        </is>
      </c>
      <c r="K23" s="13" t="inlineStr"/>
      <c r="L23" s="13" t="inlineStr"/>
    </row>
    <row r="24">
      <c r="A24" s="2" t="inlineStr">
        <is>
          <t>4 cubos</t>
        </is>
      </c>
      <c r="B24" s="3" t="inlineStr">
        <is>
          <t>Otros</t>
        </is>
      </c>
      <c r="C24" s="6">
        <f>SUM(D24:H24)</f>
        <v/>
      </c>
      <c r="D24" s="3" t="n">
        <v>4</v>
      </c>
      <c r="E24" s="3" t="n">
        <v>0</v>
      </c>
      <c r="F24" s="3" t="n">
        <v>0</v>
      </c>
      <c r="G24" s="3" t="n">
        <v>0</v>
      </c>
      <c r="H24" s="3" t="n">
        <v>0</v>
      </c>
      <c r="I24" s="3" t="inlineStr">
        <is>
          <t>YA HAY (bases) - revisar</t>
        </is>
      </c>
      <c r="J24" s="7" t="inlineStr">
        <is>
          <t>CASTORES - Actividad de agua: El descenso del Ganges (V-24/07 mañana): «4 cubos»</t>
        </is>
      </c>
      <c r="K24" s="8" t="inlineStr"/>
      <c r="L24" s="8" t="inlineStr"/>
    </row>
    <row r="25">
      <c r="A25" s="9" t="inlineStr">
        <is>
          <t>4 garrafas de agua (da igual tamaño)</t>
        </is>
      </c>
      <c r="B25" s="10" t="inlineStr">
        <is>
          <t>Otros</t>
        </is>
      </c>
      <c r="C25" s="11">
        <f>SUM(D25:H25)</f>
        <v/>
      </c>
      <c r="D25" s="10" t="n">
        <v>4</v>
      </c>
      <c r="E25" s="10" t="n">
        <v>0</v>
      </c>
      <c r="F25" s="10" t="n">
        <v>0</v>
      </c>
      <c r="G25" s="10" t="n">
        <v>0</v>
      </c>
      <c r="H25" s="10" t="n">
        <v>0</v>
      </c>
      <c r="I25" s="10" t="inlineStr">
        <is>
          <t>YA HAY (bases) - revisar</t>
        </is>
      </c>
      <c r="J25" s="12" t="inlineStr">
        <is>
          <t>CASTORES - Actividad de agua: El descenso del Ganges (V-24/07 mañana): «4 garrafas de agua (da igual tamaño)»</t>
        </is>
      </c>
      <c r="K25" s="13" t="inlineStr"/>
      <c r="L25" s="13" t="inlineStr"/>
    </row>
    <row r="26">
      <c r="A26" s="2" t="inlineStr">
        <is>
          <t>4 tobilleras de gimnasio o similares (ref Temu en el doc)</t>
        </is>
      </c>
      <c r="B26" s="3" t="inlineStr">
        <is>
          <t>Otros</t>
        </is>
      </c>
      <c r="C26" s="6">
        <f>SUM(D26:H26)</f>
        <v/>
      </c>
      <c r="D26" s="3" t="n">
        <v>4</v>
      </c>
      <c r="E26" s="3" t="n">
        <v>0</v>
      </c>
      <c r="F26" s="3" t="n">
        <v>0</v>
      </c>
      <c r="G26" s="3" t="n">
        <v>0</v>
      </c>
      <c r="H26" s="3" t="n">
        <v>0</v>
      </c>
      <c r="I26" s="3" t="inlineStr">
        <is>
          <t>YA HAY (bases) - revisar</t>
        </is>
      </c>
      <c r="J26" s="7" t="inlineStr">
        <is>
          <t>CASTORES - T.E.G.A. (Torneo de Globos) (V-17/07 tarde 2): «4 tobilleras de gimnasio o similares (ref Temu en el doc)»</t>
        </is>
      </c>
      <c r="K26" s="8" t="inlineStr"/>
      <c r="L26" s="8" t="inlineStr"/>
    </row>
    <row r="27">
      <c r="A27" s="9" t="inlineStr">
        <is>
          <t>5 cartulinas</t>
        </is>
      </c>
      <c r="B27" s="10" t="inlineStr">
        <is>
          <t>Papeleria/manualidades</t>
        </is>
      </c>
      <c r="C27" s="11">
        <f>SUM(D27:H27)</f>
        <v/>
      </c>
      <c r="D27" s="10" t="n">
        <v>0</v>
      </c>
      <c r="E27" s="10" t="n">
        <v>0</v>
      </c>
      <c r="F27" s="10" t="n">
        <v>5</v>
      </c>
      <c r="G27" s="10" t="n">
        <v>0</v>
      </c>
      <c r="H27" s="10" t="n">
        <v>0</v>
      </c>
      <c r="I27" s="10" t="inlineStr">
        <is>
          <t>COMPRAR</t>
        </is>
      </c>
      <c r="J27" s="12" t="inlineStr">
        <is>
          <t>EXPLORADORES - Miss y Mister: sacos de especias (M-29/07 tarde 1): «5 cartulinas»</t>
        </is>
      </c>
      <c r="K27" s="13" t="inlineStr"/>
      <c r="L27" s="13" t="inlineStr"/>
    </row>
    <row r="28">
      <c r="A28" s="2" t="inlineStr">
        <is>
          <t>5 pieles de kiwi</t>
        </is>
      </c>
      <c r="B28" s="3" t="inlineStr">
        <is>
          <t>Otros</t>
        </is>
      </c>
      <c r="C28" s="6">
        <f>SUM(D28:H28)</f>
        <v/>
      </c>
      <c r="D28" s="3" t="n">
        <v>0</v>
      </c>
      <c r="E28" s="3" t="n">
        <v>0</v>
      </c>
      <c r="F28" s="3" t="n">
        <v>5</v>
      </c>
      <c r="G28" s="3" t="n">
        <v>0</v>
      </c>
      <c r="H28" s="3" t="n">
        <v>0</v>
      </c>
      <c r="I28" s="3" t="inlineStr">
        <is>
          <t>YA HAY (bases) - revisar</t>
        </is>
      </c>
      <c r="J28" s="7" t="inlineStr">
        <is>
          <t>EXPLORADORES - Velada de terror (X-22/07 noche): «5 pieles de kiwi»</t>
        </is>
      </c>
      <c r="K28" s="8" t="inlineStr"/>
      <c r="L28" s="8" t="inlineStr"/>
    </row>
    <row r="29">
      <c r="A29" s="9" t="inlineStr">
        <is>
          <t>Abalorios</t>
        </is>
      </c>
      <c r="B29" s="10" t="inlineStr">
        <is>
          <t>Papeleria/manualidades</t>
        </is>
      </c>
      <c r="C29" s="11">
        <f>SUM(D29:H29)</f>
        <v/>
      </c>
      <c r="D29" s="10" t="n">
        <v>0</v>
      </c>
      <c r="E29" s="10" t="n">
        <v>2</v>
      </c>
      <c r="F29" s="10" t="n">
        <v>0</v>
      </c>
      <c r="G29" s="10" t="n">
        <v>0</v>
      </c>
      <c r="H29" s="10" t="n">
        <v>1</v>
      </c>
      <c r="I29" s="10" t="inlineStr">
        <is>
          <t>COMPRAR</t>
        </is>
      </c>
      <c r="J29" s="12" t="inlineStr">
        <is>
          <t>LOBATOS - El amuleto del elefante sagrado (orientación) (X-22/07 tarde): «Abalorios grandes y pequeños de distintos colores (7 bolsas, si son pequeñas más)»
LOBATOS - Atrapasueños (L-27/07 tarde 1): «Abalorios»
RUTAS ICARO - Revisar olimpiadas + hacer premios (S-26/07): «Abalorios»</t>
        </is>
      </c>
      <c r="K29" s="13" t="inlineStr"/>
      <c r="L29" s="13" t="inlineStr"/>
    </row>
    <row r="30">
      <c r="A30" s="2" t="inlineStr">
        <is>
          <t>Aceite</t>
        </is>
      </c>
      <c r="B30" s="3" t="inlineStr">
        <is>
          <t>Otros</t>
        </is>
      </c>
      <c r="C30" s="6">
        <f>SUM(D30:H30)</f>
        <v/>
      </c>
      <c r="D30" s="3" t="n">
        <v>0</v>
      </c>
      <c r="E30" s="3" t="n">
        <v>0</v>
      </c>
      <c r="F30" s="3" t="n">
        <v>0</v>
      </c>
      <c r="G30" s="3" t="n">
        <v>0</v>
      </c>
      <c r="H30" s="3" t="n">
        <v>1</v>
      </c>
      <c r="I30" s="3" t="inlineStr">
        <is>
          <t>YA HAY (bases) - revisar</t>
        </is>
      </c>
      <c r="J30" s="7" t="inlineStr">
        <is>
          <t>RUTAS PANDORA - Cocina con hándicaps (gyozas/empanadillas) (J-23/07): «Aceite»</t>
        </is>
      </c>
      <c r="K30" s="8" t="inlineStr"/>
      <c r="L30" s="8" t="inlineStr"/>
    </row>
    <row r="31">
      <c r="A31" s="9" t="inlineStr">
        <is>
          <t>Aceite de oliva</t>
        </is>
      </c>
      <c r="B31" s="10" t="inlineStr">
        <is>
          <t>Otros</t>
        </is>
      </c>
      <c r="C31" s="11">
        <f>SUM(D31:H31)</f>
        <v/>
      </c>
      <c r="D31" s="10" t="n">
        <v>0</v>
      </c>
      <c r="E31" s="10" t="n">
        <v>0</v>
      </c>
      <c r="F31" s="10" t="n">
        <v>1</v>
      </c>
      <c r="G31" s="10" t="n">
        <v>0</v>
      </c>
      <c r="H31" s="10" t="n">
        <v>0</v>
      </c>
      <c r="I31" s="10" t="inlineStr">
        <is>
          <t>YA HAY (bases) - revisar</t>
        </is>
      </c>
      <c r="J31" s="12" t="inlineStr">
        <is>
          <t>EXPLORADORES - Masterchef pizza (V-24/07 mañana): «Aceite de oliva»</t>
        </is>
      </c>
      <c r="K31" s="13" t="inlineStr"/>
      <c r="L31" s="13" t="inlineStr"/>
    </row>
    <row r="32">
      <c r="A32" s="2" t="inlineStr">
        <is>
          <t>Agua</t>
        </is>
      </c>
      <c r="B32" s="3" t="inlineStr">
        <is>
          <t>Otros</t>
        </is>
      </c>
      <c r="C32" s="6">
        <f>SUM(D32:H32)</f>
        <v/>
      </c>
      <c r="D32" s="3" t="n">
        <v>1</v>
      </c>
      <c r="E32" s="3" t="n">
        <v>2</v>
      </c>
      <c r="F32" s="3" t="n">
        <v>1</v>
      </c>
      <c r="G32" s="3" t="n">
        <v>0</v>
      </c>
      <c r="H32" s="3" t="n">
        <v>2</v>
      </c>
      <c r="I32" s="3" t="inlineStr">
        <is>
          <t>YA HAY (bases) - revisar</t>
        </is>
      </c>
      <c r="J32" s="7" t="inlineStr">
        <is>
          <t>CASTORES - Gran Juego: El Taj perdido (con Lobatos) (S-18/07 tarde 1): «Agua»
LOBATOS - El Taj perdido (con Castores) (S-18/07 tarde 1): «Agua»
LOBATOS - Clan Ícaro: brújula casera y potabilizar (V-24/07 tarde 1): «Agua»
EXPLORADORES - Masterchef pizza (V-24/07 mañana): «Agua»
RUTAS PANDORA - Cocina con hándicaps (gyozas/empanadillas) (J-23/07): «Agua»
RUTAS ICARO - Técnicas scouts (brújula casera, potabilizar) (V-24/07): «Agua»</t>
        </is>
      </c>
      <c r="K32" s="8" t="inlineStr"/>
      <c r="L32" s="8" t="inlineStr"/>
    </row>
    <row r="33">
      <c r="A33" s="9" t="inlineStr">
        <is>
          <t>Akela</t>
        </is>
      </c>
      <c r="B33" s="10" t="inlineStr">
        <is>
          <t>Otros</t>
        </is>
      </c>
      <c r="C33" s="11">
        <f>SUM(D33:H33)</f>
        <v/>
      </c>
      <c r="D33" s="10" t="n">
        <v>0</v>
      </c>
      <c r="E33" s="10" t="n">
        <v>1</v>
      </c>
      <c r="F33" s="10" t="n">
        <v>0</v>
      </c>
      <c r="G33" s="10" t="n">
        <v>0</v>
      </c>
      <c r="H33" s="10" t="n">
        <v>0</v>
      </c>
      <c r="I33" s="10" t="inlineStr">
        <is>
          <t>YA HAY (bases) - revisar</t>
        </is>
      </c>
      <c r="J33" s="12" t="inlineStr">
        <is>
          <t>LOBATOS - Roca del Consejo (V-24/07 noche): «Akela»</t>
        </is>
      </c>
      <c r="K33" s="13" t="inlineStr"/>
      <c r="L33" s="13" t="inlineStr"/>
    </row>
    <row r="34">
      <c r="A34" s="2" t="inlineStr">
        <is>
          <t>Alambre</t>
        </is>
      </c>
      <c r="B34" s="3" t="inlineStr">
        <is>
          <t>Construccion/herramientas</t>
        </is>
      </c>
      <c r="C34" s="6">
        <f>SUM(D34:H34)</f>
        <v/>
      </c>
      <c r="D34" s="3" t="n">
        <v>0</v>
      </c>
      <c r="E34" s="3" t="n">
        <v>0</v>
      </c>
      <c r="F34" s="3" t="n">
        <v>1</v>
      </c>
      <c r="G34" s="3" t="n">
        <v>0</v>
      </c>
      <c r="H34" s="3" t="n">
        <v>0</v>
      </c>
      <c r="I34" s="3" t="inlineStr">
        <is>
          <t>COMPRAR</t>
        </is>
      </c>
      <c r="J34" s="7" t="inlineStr">
        <is>
          <t>EXPLORADORES - Taller de hornillo (S-18/07 tarde 1): «Alambre»</t>
        </is>
      </c>
      <c r="K34" s="8" t="inlineStr"/>
      <c r="L34" s="8" t="inlineStr"/>
    </row>
    <row r="35">
      <c r="A35" s="9" t="inlineStr">
        <is>
          <t>Alcohol 96º</t>
        </is>
      </c>
      <c r="B35" s="10" t="inlineStr">
        <is>
          <t>Otros</t>
        </is>
      </c>
      <c r="C35" s="11">
        <f>SUM(D35:H35)</f>
        <v/>
      </c>
      <c r="D35" s="10" t="n">
        <v>0</v>
      </c>
      <c r="E35" s="10" t="n">
        <v>0</v>
      </c>
      <c r="F35" s="10" t="n">
        <v>1</v>
      </c>
      <c r="G35" s="10" t="n">
        <v>0</v>
      </c>
      <c r="H35" s="10" t="n">
        <v>0</v>
      </c>
      <c r="I35" s="10" t="inlineStr">
        <is>
          <t>YA HAY (bases) - revisar</t>
        </is>
      </c>
      <c r="J35" s="12" t="inlineStr">
        <is>
          <t>EXPLORADORES - Taller de hornillo (S-18/07 tarde 1): «Alcohol 96º»</t>
        </is>
      </c>
      <c r="K35" s="13" t="inlineStr"/>
      <c r="L35" s="13" t="inlineStr"/>
    </row>
    <row r="36">
      <c r="A36" s="2" t="inlineStr">
        <is>
          <t>Alcotanas</t>
        </is>
      </c>
      <c r="B36" s="3" t="inlineStr">
        <is>
          <t>Construccion/herramientas</t>
        </is>
      </c>
      <c r="C36" s="6">
        <f>SUM(D36:H36)</f>
        <v/>
      </c>
      <c r="D36" s="3" t="n">
        <v>0</v>
      </c>
      <c r="E36" s="3" t="n">
        <v>0</v>
      </c>
      <c r="F36" s="3" t="n">
        <v>7</v>
      </c>
      <c r="G36" s="3" t="n">
        <v>1</v>
      </c>
      <c r="H36" s="3" t="n">
        <v>0</v>
      </c>
      <c r="I36" s="3" t="inlineStr">
        <is>
          <t>YA HAY (bases) - revisar</t>
        </is>
      </c>
      <c r="J36" s="7" t="inlineStr">
        <is>
          <t>EXPLORADORES - Construcciones rústicas (J-16/07 mañana+tarde): «6 alcotanas»
EXPLORADORES - Desmontar construcciones (M-29/07 mañana): «Alcotana»
PIONEROS - Construcciones (J-16 y V-17/07): «Alcotanas»</t>
        </is>
      </c>
      <c r="K36" s="8" t="inlineStr"/>
      <c r="L36" s="8" t="inlineStr"/>
    </row>
    <row r="37">
      <c r="A37" s="9" t="inlineStr">
        <is>
          <t>Algodón</t>
        </is>
      </c>
      <c r="B37" s="10" t="inlineStr">
        <is>
          <t>Papeleria/manualidades</t>
        </is>
      </c>
      <c r="C37" s="11">
        <f>SUM(D37:H37)</f>
        <v/>
      </c>
      <c r="D37" s="10" t="n">
        <v>0</v>
      </c>
      <c r="E37" s="10" t="n">
        <v>0</v>
      </c>
      <c r="F37" s="10" t="n">
        <v>0</v>
      </c>
      <c r="G37" s="10" t="n">
        <v>2</v>
      </c>
      <c r="H37" s="10" t="n">
        <v>2</v>
      </c>
      <c r="I37" s="10" t="inlineStr">
        <is>
          <t>COMPRAR</t>
        </is>
      </c>
      <c r="J37" s="12" t="inlineStr">
        <is>
          <t>PIONEROS - Actividad Clan Ícaro - Drogas (S-18/07 tarde 1): «Algodón»
PIONEROS - Taller pintar tote bags (J-23/07 tarde 2): «Tote bags 100% algodón x1 por chaval»
RUTAS PANDORA - Actividad de adicciones con pipis (J-16/07): «Algodón»
RUTAS ICARO - Taller para Pioneros - Drogas (S-18/07): «Algodón»</t>
        </is>
      </c>
      <c r="K37" s="13" t="inlineStr"/>
      <c r="L37" s="13" t="inlineStr"/>
    </row>
    <row r="38">
      <c r="A38" s="2" t="inlineStr">
        <is>
          <t>Alguna herramienta básica</t>
        </is>
      </c>
      <c r="B38" s="3" t="inlineStr">
        <is>
          <t>Otros</t>
        </is>
      </c>
      <c r="C38" s="6">
        <f>SUM(D38:H38)</f>
        <v/>
      </c>
      <c r="D38" s="3" t="n">
        <v>0</v>
      </c>
      <c r="E38" s="3" t="n">
        <v>0</v>
      </c>
      <c r="F38" s="3" t="n">
        <v>0</v>
      </c>
      <c r="G38" s="3" t="n">
        <v>0</v>
      </c>
      <c r="H38" s="3" t="n">
        <v>1</v>
      </c>
      <c r="I38" s="3" t="inlineStr">
        <is>
          <t>YA HAY (bases) - revisar</t>
        </is>
      </c>
      <c r="J38" s="7" t="inlineStr">
        <is>
          <t>RUTAS ICARO - Voluntariado Manuela (J-23/07): «Alguna herramienta básica»</t>
        </is>
      </c>
      <c r="K38" s="8" t="inlineStr"/>
      <c r="L38" s="8" t="inlineStr"/>
    </row>
    <row r="39">
      <c r="A39" s="9" t="inlineStr">
        <is>
          <t>Altavoz bluetooth</t>
        </is>
      </c>
      <c r="B39" s="10" t="inlineStr">
        <is>
          <t>Iluminacion/electronica</t>
        </is>
      </c>
      <c r="C39" s="11">
        <f>SUM(D39:H39)</f>
        <v/>
      </c>
      <c r="D39" s="10" t="n">
        <v>1</v>
      </c>
      <c r="E39" s="10" t="n">
        <v>4</v>
      </c>
      <c r="F39" s="10" t="n">
        <v>0</v>
      </c>
      <c r="G39" s="10" t="n">
        <v>1</v>
      </c>
      <c r="H39" s="10" t="n">
        <v>2</v>
      </c>
      <c r="I39" s="10" t="inlineStr">
        <is>
          <t>YA HAY (bases) - revisar</t>
        </is>
      </c>
      <c r="J39" s="12" t="inlineStr">
        <is>
          <t>CASTORES - Taller constelaciones (S-18/07 noche): «Altavoz (música relajante)»
LOBATOS - Bailes tradicionales indios + país (M-21/07 tarde 1): «Altavoz»
LOBATOS - Taller de relajación (M-21/07 tarde 2): «Altavoz»
LOBATOS - Taller de estrellas (X-22/07 noche): «Altavoz»
LOBATOS - GRUPAL: Día guarro (X-22/07 día): «Altavoz»
PIONEROS - Relax (M-21/07 tarde 2): «Altavoz (kraalete) y móvil»
RUTAS PANDORA - PPV (velada) (V-24/07 noche): «Altavoz»
RUTAS PANDORA - Reflexión personal (Reserva): «Altavoz»</t>
        </is>
      </c>
      <c r="K39" s="13" t="inlineStr"/>
      <c r="L39" s="13" t="inlineStr"/>
    </row>
    <row r="40">
      <c r="A40" s="2" t="inlineStr">
        <is>
          <t>Anillas de llavero</t>
        </is>
      </c>
      <c r="B40" s="3" t="inlineStr">
        <is>
          <t>Papeleria/manualidades</t>
        </is>
      </c>
      <c r="C40" s="6">
        <f>SUM(D40:H40)</f>
        <v/>
      </c>
      <c r="D40" s="3" t="n">
        <v>0</v>
      </c>
      <c r="E40" s="3" t="n">
        <v>0</v>
      </c>
      <c r="F40" s="3" t="n">
        <v>0</v>
      </c>
      <c r="G40" s="3" t="n">
        <v>0</v>
      </c>
      <c r="H40" s="3" t="n">
        <v>1</v>
      </c>
      <c r="I40" s="3" t="inlineStr">
        <is>
          <t>COMPRAR</t>
        </is>
      </c>
      <c r="J40" s="7" t="inlineStr">
        <is>
          <t>RUTAS PANDORA - Miss y Mister (llaveros) (X-29/07 tarde): «Anillas de llavero»</t>
        </is>
      </c>
      <c r="K40" s="8" t="inlineStr"/>
      <c r="L40" s="8" t="inlineStr"/>
    </row>
    <row r="41">
      <c r="A41" s="9" t="inlineStr">
        <is>
          <t>Arcilla</t>
        </is>
      </c>
      <c r="B41" s="10" t="inlineStr">
        <is>
          <t>Papeleria/manualidades</t>
        </is>
      </c>
      <c r="C41" s="11">
        <f>SUM(D41:H41)</f>
        <v/>
      </c>
      <c r="D41" s="10">
        <f>CONFIG!$B$2*0.5</f>
        <v/>
      </c>
      <c r="E41" s="10" t="n">
        <v>0</v>
      </c>
      <c r="F41" s="10" t="n">
        <v>0</v>
      </c>
      <c r="G41" s="10" t="n">
        <v>0</v>
      </c>
      <c r="H41" s="10" t="n">
        <v>0</v>
      </c>
      <c r="I41" s="10" t="inlineStr">
        <is>
          <t>COMPRAR</t>
        </is>
      </c>
      <c r="J41" s="12" t="inlineStr">
        <is>
          <t>CASTORES - Taller de arcilla (S-25/07 tarde 1): «X kilos de arcilla (AÑADIR CUANDO SE SEPA Nº DE NIÑOS)»</t>
        </is>
      </c>
      <c r="K41" s="13" t="inlineStr"/>
      <c r="L41" s="13" t="inlineStr"/>
    </row>
    <row r="42">
      <c r="A42" s="2" t="inlineStr">
        <is>
          <t>Arco</t>
        </is>
      </c>
      <c r="B42" s="3" t="inlineStr">
        <is>
          <t>Otros</t>
        </is>
      </c>
      <c r="C42" s="6">
        <f>SUM(D42:H42)</f>
        <v/>
      </c>
      <c r="D42" s="3" t="n">
        <v>1</v>
      </c>
      <c r="E42" s="3" t="n">
        <v>1</v>
      </c>
      <c r="F42" s="3" t="n">
        <v>0</v>
      </c>
      <c r="G42" s="3" t="n">
        <v>0</v>
      </c>
      <c r="H42" s="3" t="n">
        <v>0</v>
      </c>
      <c r="I42" s="3" t="inlineStr">
        <is>
          <t>YA HAY (bases) - revisar</t>
        </is>
      </c>
      <c r="J42" s="7" t="inlineStr">
        <is>
          <t>CASTORES - Gran Juego: El Taj perdido (con Lobatos) (S-18/07 tarde 1): «Arco»
LOBATOS - El Taj perdido (con Castores) (S-18/07 tarde 1): «Arco»</t>
        </is>
      </c>
      <c r="K42" s="8" t="inlineStr"/>
      <c r="L42" s="8" t="inlineStr"/>
    </row>
    <row r="43">
      <c r="A43" s="9" t="inlineStr">
        <is>
          <t>Arena fina</t>
        </is>
      </c>
      <c r="B43" s="10" t="inlineStr">
        <is>
          <t>Otros</t>
        </is>
      </c>
      <c r="C43" s="11">
        <f>SUM(D43:H43)</f>
        <v/>
      </c>
      <c r="D43" s="10" t="n">
        <v>0</v>
      </c>
      <c r="E43" s="10" t="n">
        <v>1</v>
      </c>
      <c r="F43" s="10" t="n">
        <v>0</v>
      </c>
      <c r="G43" s="10" t="n">
        <v>0</v>
      </c>
      <c r="H43" s="10" t="n">
        <v>1</v>
      </c>
      <c r="I43" s="10" t="inlineStr">
        <is>
          <t>YA HAY (bases) - revisar</t>
        </is>
      </c>
      <c r="J43" s="12" t="inlineStr">
        <is>
          <t>LOBATOS - Clan Ícaro: brújula casera y potabilizar (V-24/07 tarde 1): «Arena fina»
RUTAS ICARO - Técnicas scouts (brújula casera, potabilizar) (V-24/07): «Arena fina»</t>
        </is>
      </c>
      <c r="K43" s="13" t="inlineStr"/>
      <c r="L43" s="13" t="inlineStr"/>
    </row>
    <row r="44">
      <c r="A44" s="2" t="inlineStr">
        <is>
          <t>Arena gruesa</t>
        </is>
      </c>
      <c r="B44" s="3" t="inlineStr">
        <is>
          <t>Otros</t>
        </is>
      </c>
      <c r="C44" s="6">
        <f>SUM(D44:H44)</f>
        <v/>
      </c>
      <c r="D44" s="3" t="n">
        <v>0</v>
      </c>
      <c r="E44" s="3" t="n">
        <v>1</v>
      </c>
      <c r="F44" s="3" t="n">
        <v>0</v>
      </c>
      <c r="G44" s="3" t="n">
        <v>0</v>
      </c>
      <c r="H44" s="3" t="n">
        <v>1</v>
      </c>
      <c r="I44" s="3" t="inlineStr">
        <is>
          <t>YA HAY (bases) - revisar</t>
        </is>
      </c>
      <c r="J44" s="7" t="inlineStr">
        <is>
          <t>LOBATOS - Clan Ícaro: brújula casera y potabilizar (V-24/07 tarde 1): «Arena gruesa»
RUTAS ICARO - Técnicas scouts (brújula casera, potabilizar) (V-24/07): «Arena gruesa»</t>
        </is>
      </c>
      <c r="K44" s="8" t="inlineStr"/>
      <c r="L44" s="8" t="inlineStr"/>
    </row>
    <row r="45">
      <c r="A45" s="9" t="inlineStr">
        <is>
          <t>Aros de plástico</t>
        </is>
      </c>
      <c r="B45" s="10" t="inlineStr">
        <is>
          <t>Juegos/deporte</t>
        </is>
      </c>
      <c r="C45" s="11">
        <f>SUM(D45:H45)</f>
        <v/>
      </c>
      <c r="D45" s="10" t="n">
        <v>0</v>
      </c>
      <c r="E45" s="10" t="n">
        <v>3</v>
      </c>
      <c r="F45" s="10" t="n">
        <v>0</v>
      </c>
      <c r="G45" s="10" t="n">
        <v>0</v>
      </c>
      <c r="H45" s="10" t="n">
        <v>2</v>
      </c>
      <c r="I45" s="10" t="inlineStr">
        <is>
          <t>YA HAY (bases) - revisar</t>
        </is>
      </c>
      <c r="J45" s="12" t="inlineStr">
        <is>
          <t>LOBATOS - De aventura en la India (V-17/07 tarde 2): «Aros»
LOBATOS - Actividad lobatos (Clan Ícaro - Charlie y David) (J-23/07 tarde 2): «Un palo/algo para meter aros»
LOBATOS - Actividad lobatos (Clan Ícaro - Charlie y David) (J-23/07 tarde 2): «Aros»
RUTAS ICARO - Actividad para Lobatos (Charlie y David) (J-23/07): «Un palo para meter aros»
RUTAS ICARO - Actividad para Lobatos (Charlie y David) (J-23/07): «Aros»</t>
        </is>
      </c>
      <c r="K45" s="13" t="inlineStr"/>
      <c r="L45" s="13" t="inlineStr"/>
    </row>
    <row r="46">
      <c r="A46" s="2" t="inlineStr">
        <is>
          <t>Awen (peluche castor)</t>
        </is>
      </c>
      <c r="B46" s="3" t="inlineStr">
        <is>
          <t>Otros</t>
        </is>
      </c>
      <c r="C46" s="6">
        <f>SUM(D46:H46)</f>
        <v/>
      </c>
      <c r="D46" s="3" t="n">
        <v>1</v>
      </c>
      <c r="E46" s="3" t="n">
        <v>0</v>
      </c>
      <c r="F46" s="3" t="n">
        <v>0</v>
      </c>
      <c r="G46" s="3" t="n">
        <v>0</v>
      </c>
      <c r="H46" s="3" t="n">
        <v>0</v>
      </c>
      <c r="I46" s="3" t="inlineStr">
        <is>
          <t>YA HAY (bases) - revisar</t>
        </is>
      </c>
      <c r="J46" s="7" t="inlineStr">
        <is>
          <t>CASTORES - Consejo de troncos (V-24/07 noche): «Awen (peluche castor)»</t>
        </is>
      </c>
      <c r="K46" s="8" t="inlineStr"/>
      <c r="L46" s="8" t="inlineStr"/>
    </row>
    <row r="47">
      <c r="A47" s="9" t="inlineStr">
        <is>
          <t>Balde</t>
        </is>
      </c>
      <c r="B47" s="10" t="inlineStr">
        <is>
          <t>Otros</t>
        </is>
      </c>
      <c r="C47" s="11">
        <f>SUM(D47:H47)</f>
        <v/>
      </c>
      <c r="D47" s="10" t="n">
        <v>1</v>
      </c>
      <c r="E47" s="10" t="n">
        <v>1</v>
      </c>
      <c r="F47" s="10" t="n">
        <v>0</v>
      </c>
      <c r="G47" s="10" t="n">
        <v>1</v>
      </c>
      <c r="H47" s="10" t="n">
        <v>2</v>
      </c>
      <c r="I47" s="10" t="inlineStr">
        <is>
          <t>YA HAY (bases) - revisar</t>
        </is>
      </c>
      <c r="J47" s="12" t="inlineStr">
        <is>
          <t>CASTORES - Gran Juego: El Taj perdido (con Lobatos) (S-18/07 tarde 1): «Balde»
LOBATOS - El Taj perdido (con Castores) (S-18/07 tarde 1): «Balde»
PIONEROS - Actividad Clan Ícaro - Drogas (S-18/07 tarde 1): «Balde»
RUTAS PANDORA - Actividad de adicciones con pipis (J-16/07): «Balde»
RUTAS ICARO - Taller para Pioneros - Drogas (S-18/07): «Balde»</t>
        </is>
      </c>
      <c r="K47" s="13" t="inlineStr"/>
      <c r="L47" s="13" t="inlineStr"/>
    </row>
    <row r="48">
      <c r="A48" s="2" t="inlineStr">
        <is>
          <t>Balde de agua</t>
        </is>
      </c>
      <c r="B48" s="3" t="inlineStr">
        <is>
          <t>Otros</t>
        </is>
      </c>
      <c r="C48" s="6">
        <f>SUM(D48:H48)</f>
        <v/>
      </c>
      <c r="D48" s="3" t="n">
        <v>0</v>
      </c>
      <c r="E48" s="3" t="n">
        <v>1</v>
      </c>
      <c r="F48" s="3" t="n">
        <v>0</v>
      </c>
      <c r="G48" s="3" t="n">
        <v>0</v>
      </c>
      <c r="H48" s="3" t="n">
        <v>0</v>
      </c>
      <c r="I48" s="3" t="inlineStr">
        <is>
          <t>YA HAY (bases) - revisar</t>
        </is>
      </c>
      <c r="J48" s="7" t="inlineStr">
        <is>
          <t>LOBATOS - GRUPAL: Barracas - El Gran Bazar (D-26/07 tarde): «Balde de agua»</t>
        </is>
      </c>
      <c r="K48" s="8" t="inlineStr"/>
      <c r="L48" s="8" t="inlineStr"/>
    </row>
    <row r="49">
      <c r="A49" s="9" t="inlineStr">
        <is>
          <t>Balones y pelotas deportivas / Petanca</t>
        </is>
      </c>
      <c r="B49" s="10" t="inlineStr">
        <is>
          <t>Juegos/deporte</t>
        </is>
      </c>
      <c r="C49" s="11">
        <f>SUM(D49:H49)</f>
        <v/>
      </c>
      <c r="D49" s="10" t="n">
        <v>1</v>
      </c>
      <c r="E49" s="10" t="n">
        <v>8</v>
      </c>
      <c r="F49" s="10" t="n">
        <v>3</v>
      </c>
      <c r="G49" s="10" t="n">
        <v>4</v>
      </c>
      <c r="H49" s="10" t="n">
        <v>7</v>
      </c>
      <c r="I49" s="10" t="inlineStr">
        <is>
          <t>YA HAY (bases) - revisar</t>
        </is>
      </c>
      <c r="J49" s="12" t="inlineStr">
        <is>
          <t>CASTORES - Normas de campamento + juegos (J-16/07 tarde 2): «Balón»
LOBATOS - Juegos (J-16/07 tarde 2): «Balón goma espuma»
LOBATOS - Juegos India (V-17/07 mañana): «Pelota de tenis»
LOBATOS - De aventura en la India (V-17/07 tarde 2): «Pelota blanda»
LOBATOS - El amuleto del elefante sagrado (orientación) (X-22/07 tarde): «Balón blando»
LOBATOS - Actividad lobatos (Clan Ícaro - Charlie y David) (J-23/07 tarde 2): «Set de petanca»
LOBATOS - Gymkana de agua (V-24/07 mañana): «Pelotas de pin pon 10»
LOBATOS - Lobatolimpiadas (S-25/07 tarde 2): «Pelota volley»
LOBATOS - GRUPAL: Barracas - El Gran Bazar (D-26/07 tarde): «Pelotas de ping pong»
EXPLORADORES - Actividad Clan Ícaro (Trivial) (X-22/07 tarde 1): «Balón»
EXPLORADORES - Actividad Clan Ícaro (Trivial) (X-22/07 tarde 1): «Pelotas de pin pon»
EXPLORADORES - Jugger (X-22/07 tarde 2): «Pelota jugger»
PIONEROS - Gymkhana deportes (V-17/07 tarde): «Palas de playa y pelota»
PIONEROS - Gymkhana deportes (V-17/07 tarde): «Petanca»
PIONEROS - Juegos de agua (J-23/07 tarde 1): «Balones blanditos para agua»
PIONEROS - Velada NNEE (S-25/07 noche): «Petanca»
RUTAS ICARO - Actividad moverse (Charlie) (S-18/07): «Pelotas»
RUTAS ICARO - Actividad para Tropa: Trivial (X-22/07): «Balón»
RUTAS ICARO - Actividad para Tropa: Trivial (X-22/07): «Pelotas de pin pon»
RUTAS ICARO - Actividad para Lobatos (Charlie y David) (J-23/07): «Set de petanca»
RUTAS ICARO - Jugger con Pandora (S-25/07): «Balón de rugby»
RUTAS ICARO - OLIMPIADAS (grupal) (X-29/07 mañana): «Balón»
RUTAS ICARO - OLIMPIADAS (grupal) (X-29/07 mañana): «Pelotas de pin-pon»</t>
        </is>
      </c>
      <c r="K49" s="13" t="inlineStr"/>
      <c r="L49" s="13" t="inlineStr"/>
    </row>
    <row r="50">
      <c r="A50" s="2" t="inlineStr">
        <is>
          <t>Bancos</t>
        </is>
      </c>
      <c r="B50" s="3" t="inlineStr">
        <is>
          <t>Otros</t>
        </is>
      </c>
      <c r="C50" s="6">
        <f>SUM(D50:H50)</f>
        <v/>
      </c>
      <c r="D50" s="3" t="n">
        <v>0</v>
      </c>
      <c r="E50" s="3" t="n">
        <v>1</v>
      </c>
      <c r="F50" s="3" t="n">
        <v>0</v>
      </c>
      <c r="G50" s="3" t="n">
        <v>0</v>
      </c>
      <c r="H50" s="3" t="n">
        <v>0</v>
      </c>
      <c r="I50" s="3" t="inlineStr">
        <is>
          <t>YA HAY (bases) - revisar</t>
        </is>
      </c>
      <c r="J50" s="7" t="inlineStr">
        <is>
          <t>LOBATOS - De aventura en la India (V-17/07 tarde 2): «Bancos»</t>
        </is>
      </c>
      <c r="K50" s="8" t="inlineStr"/>
      <c r="L50" s="8" t="inlineStr"/>
    </row>
    <row r="51">
      <c r="A51" s="9" t="inlineStr">
        <is>
          <t>Bancos del comedor</t>
        </is>
      </c>
      <c r="B51" s="10" t="inlineStr">
        <is>
          <t>Otros</t>
        </is>
      </c>
      <c r="C51" s="11">
        <f>SUM(D51:H51)</f>
        <v/>
      </c>
      <c r="D51" s="10" t="n">
        <v>0</v>
      </c>
      <c r="E51" s="10" t="n">
        <v>0</v>
      </c>
      <c r="F51" s="10" t="n">
        <v>0</v>
      </c>
      <c r="G51" s="10" t="n">
        <v>0</v>
      </c>
      <c r="H51" s="10" t="n">
        <v>1</v>
      </c>
      <c r="I51" s="10" t="inlineStr">
        <is>
          <t>YA HAY (bases) - revisar</t>
        </is>
      </c>
      <c r="J51" s="12" t="inlineStr">
        <is>
          <t>RUTAS ICARO - OLIMPIADAS (grupal) (X-29/07 mañana): «Bancos del comedor»</t>
        </is>
      </c>
      <c r="K51" s="13" t="inlineStr"/>
      <c r="L51" s="13" t="inlineStr"/>
    </row>
    <row r="52">
      <c r="A52" s="2" t="inlineStr">
        <is>
          <t>Bancos, mesa (circuito)</t>
        </is>
      </c>
      <c r="B52" s="3" t="inlineStr">
        <is>
          <t>Otros</t>
        </is>
      </c>
      <c r="C52" s="6">
        <f>SUM(D52:H52)</f>
        <v/>
      </c>
      <c r="D52" s="3" t="n">
        <v>0</v>
      </c>
      <c r="E52" s="3" t="n">
        <v>0</v>
      </c>
      <c r="F52" s="3" t="n">
        <v>0</v>
      </c>
      <c r="G52" s="3" t="n">
        <v>1</v>
      </c>
      <c r="H52" s="3" t="n">
        <v>0</v>
      </c>
      <c r="I52" s="3" t="inlineStr">
        <is>
          <t>YA HAY (bases) - revisar</t>
        </is>
      </c>
      <c r="J52" s="7" t="inlineStr">
        <is>
          <t>PIONEROS - Gymkhana deportes (V-17/07 tarde): «Bancos, mesa (circuito)»</t>
        </is>
      </c>
      <c r="K52" s="8" t="inlineStr"/>
      <c r="L52" s="8" t="inlineStr"/>
    </row>
    <row r="53">
      <c r="A53" s="9" t="inlineStr">
        <is>
          <t>Bandera de castores</t>
        </is>
      </c>
      <c r="B53" s="10" t="inlineStr">
        <is>
          <t>Otros</t>
        </is>
      </c>
      <c r="C53" s="11">
        <f>SUM(D53:H53)</f>
        <v/>
      </c>
      <c r="D53" s="10" t="n">
        <v>2</v>
      </c>
      <c r="E53" s="10" t="n">
        <v>0</v>
      </c>
      <c r="F53" s="10" t="n">
        <v>0</v>
      </c>
      <c r="G53" s="10" t="n">
        <v>0</v>
      </c>
      <c r="H53" s="10" t="n">
        <v>0</v>
      </c>
      <c r="I53" s="10" t="inlineStr">
        <is>
          <t>YA HAY (bases) - revisar</t>
        </is>
      </c>
      <c r="J53" s="12" t="inlineStr">
        <is>
          <t>CASTORES - Montaje de tiendas (J-16/07 mañana): «Bandera de castores»
CASTORES - Construcciones zona común (V-17/07 mañana): «Bandera de castores»</t>
        </is>
      </c>
      <c r="K53" s="13" t="inlineStr"/>
      <c r="L53" s="13" t="inlineStr"/>
    </row>
    <row r="54">
      <c r="A54" s="2" t="inlineStr">
        <is>
          <t>Bandera de lobatos</t>
        </is>
      </c>
      <c r="B54" s="3" t="inlineStr">
        <is>
          <t>Otros</t>
        </is>
      </c>
      <c r="C54" s="6">
        <f>SUM(D54:H54)</f>
        <v/>
      </c>
      <c r="D54" s="3" t="n">
        <v>0</v>
      </c>
      <c r="E54" s="3" t="n">
        <v>1</v>
      </c>
      <c r="F54" s="3" t="n">
        <v>0</v>
      </c>
      <c r="G54" s="3" t="n">
        <v>0</v>
      </c>
      <c r="H54" s="3" t="n">
        <v>0</v>
      </c>
      <c r="I54" s="3" t="inlineStr">
        <is>
          <t>YA HAY (bases) - revisar</t>
        </is>
      </c>
      <c r="J54" s="7" t="inlineStr">
        <is>
          <t>LOBATOS - Roca del Consejo (V-24/07 noche): «Bandera de lobatos»</t>
        </is>
      </c>
      <c r="K54" s="8" t="inlineStr"/>
      <c r="L54" s="8" t="inlineStr"/>
    </row>
    <row r="55">
      <c r="A55" s="9" t="inlineStr">
        <is>
          <t>Bandera rutas</t>
        </is>
      </c>
      <c r="B55" s="10" t="inlineStr">
        <is>
          <t>Otros</t>
        </is>
      </c>
      <c r="C55" s="11">
        <f>SUM(D55:H55)</f>
        <v/>
      </c>
      <c r="D55" s="10" t="n">
        <v>0</v>
      </c>
      <c r="E55" s="10" t="n">
        <v>0</v>
      </c>
      <c r="F55" s="10" t="n">
        <v>0</v>
      </c>
      <c r="G55" s="10" t="n">
        <v>0</v>
      </c>
      <c r="H55" s="10" t="n">
        <v>1</v>
      </c>
      <c r="I55" s="10" t="inlineStr">
        <is>
          <t>YA HAY (bases) - revisar</t>
        </is>
      </c>
      <c r="J55" s="12" t="inlineStr">
        <is>
          <t>RUTAS ICARO - Construcciones (J-16/07): «Bandera rutas»</t>
        </is>
      </c>
      <c r="K55" s="13" t="inlineStr"/>
      <c r="L55" s="13" t="inlineStr"/>
    </row>
    <row r="56">
      <c r="A56" s="2" t="inlineStr">
        <is>
          <t>Barreños (6-8)</t>
        </is>
      </c>
      <c r="B56" s="3" t="inlineStr">
        <is>
          <t>Otros</t>
        </is>
      </c>
      <c r="C56" s="6">
        <f>SUM(D56:H56)</f>
        <v/>
      </c>
      <c r="D56" s="3" t="n">
        <v>0</v>
      </c>
      <c r="E56" s="3" t="n">
        <v>1</v>
      </c>
      <c r="F56" s="3" t="n">
        <v>0</v>
      </c>
      <c r="G56" s="3" t="n">
        <v>0</v>
      </c>
      <c r="H56" s="3" t="n">
        <v>0</v>
      </c>
      <c r="I56" s="3" t="inlineStr">
        <is>
          <t>YA HAY (bases) - revisar</t>
        </is>
      </c>
      <c r="J56" s="7" t="inlineStr">
        <is>
          <t>LOBATOS - GRUPAL: Día guarro (X-22/07 día): «Barreños (6-8)»</t>
        </is>
      </c>
      <c r="K56" s="8" t="inlineStr"/>
      <c r="L56" s="8" t="inlineStr"/>
    </row>
    <row r="57">
      <c r="A57" s="9" t="inlineStr">
        <is>
          <t>Bingo (David)</t>
        </is>
      </c>
      <c r="B57" s="10" t="inlineStr">
        <is>
          <t>Otros</t>
        </is>
      </c>
      <c r="C57" s="11">
        <f>SUM(D57:H57)</f>
        <v/>
      </c>
      <c r="D57" s="10" t="n">
        <v>0</v>
      </c>
      <c r="E57" s="10" t="n">
        <v>0</v>
      </c>
      <c r="F57" s="10" t="n">
        <v>0</v>
      </c>
      <c r="G57" s="10" t="n">
        <v>0</v>
      </c>
      <c r="H57" s="10" t="n">
        <v>1</v>
      </c>
      <c r="I57" s="10" t="inlineStr">
        <is>
          <t>YA HAY (bases) - revisar</t>
        </is>
      </c>
      <c r="J57" s="12" t="inlineStr">
        <is>
          <t>RUTAS ICARO - Taller David (V-17/07): «Bingo (David)»</t>
        </is>
      </c>
      <c r="K57" s="13" t="inlineStr"/>
      <c r="L57" s="13" t="inlineStr"/>
    </row>
    <row r="58">
      <c r="A58" s="2" t="inlineStr">
        <is>
          <t>Boli de tinta invisible</t>
        </is>
      </c>
      <c r="B58" s="3" t="inlineStr">
        <is>
          <t>Papeleria/manualidades</t>
        </is>
      </c>
      <c r="C58" s="6">
        <f>SUM(D58:H58)</f>
        <v/>
      </c>
      <c r="D58" s="3" t="n">
        <v>2</v>
      </c>
      <c r="E58" s="3" t="n">
        <v>4</v>
      </c>
      <c r="F58" s="3" t="n">
        <v>0</v>
      </c>
      <c r="G58" s="3" t="n">
        <v>4</v>
      </c>
      <c r="H58" s="3" t="n">
        <v>12</v>
      </c>
      <c r="I58" s="3" t="inlineStr">
        <is>
          <t>YA HAY (bases) - revisar</t>
        </is>
      </c>
      <c r="J58" s="7" t="inlineStr">
        <is>
          <t>CASTORES - Cuento de imágenes (Bolsa de juegos): «Bolis»
CASTORES - Dinámica abanico (Bolsa de juegos): «Bolis»
LOBATOS - Clan Ícaro: brújula casera y potabilizar (V-24/07 tarde 1): «Bolis»
LOBATOS - Lobatolimpiadas mentales (S-25/07 noche): «Bolis»
LOBATOS - Olimpiadas tarde + vivacs (M-28/07 tarde-noche): «Bolis»
LOBATOS - Evaluación (X-29/07 tarde 2): «Bolis»
PIONEROS - Actividad Clan Ícaro - Drogas (S-18/07 tarde 1): «Boli»
PIONEROS - Fe (V-24/07 tarde 2): «Bolis»
PIONEROS - Velada autopercepción (V-24/07 noche): «Bolis»
PIONEROS - Refugiados por un día (S-25/07 tarde 2): «Bolis»
RUTAS PANDORA - Actividad de adicciones con pipis (J-16/07): «Boli»
RUTAS PANDORA - Debates con roles (J-23/07 noche): «Boli»
RUTAS PANDORA - Velada de reflexión con el Ícaro (S-25/07 noche): «Boli»
RUTAS PANDORA - Stalking con el Clan Ícaro (D-26/07 noche): «Bolis»
RUTAS ICARO - Taller Eva (V-17/07): «Bolis»
RUTAS ICARO - PPV (Vali) (V-17/07): «Bolis»
RUTAS ICARO - Velada Vision Board (V-17/07 noche): «Bolis»
RUTAS ICARO - Taller para Pioneros - Drogas (S-18/07): «Boli»
RUTAS ICARO - Taller feminismo (actividad país) (X-22/07 noche): «Bolis»
RUTAS ICARO - ¿Por qué la rutina nos provoca estrés? (V-24/07): «Boli»
RUTAS ICARO - Taller Manu (V-24/07): «Bolis»
RUTAS ICARO - Técnicas scouts (brújula casera, potabilizar) (V-24/07): «Bolis»</t>
        </is>
      </c>
      <c r="K58" s="8" t="inlineStr"/>
      <c r="L58" s="8" t="inlineStr"/>
    </row>
    <row r="59">
      <c r="A59" s="9" t="inlineStr">
        <is>
          <t>Bolígrafos</t>
        </is>
      </c>
      <c r="B59" s="10" t="inlineStr">
        <is>
          <t>Papeleria/manualidades</t>
        </is>
      </c>
      <c r="C59" s="11">
        <f>SUM(D59:H59)</f>
        <v/>
      </c>
      <c r="D59" s="10" t="n">
        <v>0</v>
      </c>
      <c r="E59" s="10" t="n">
        <v>10</v>
      </c>
      <c r="F59" s="10" t="n">
        <v>0</v>
      </c>
      <c r="G59" s="10" t="n">
        <v>3</v>
      </c>
      <c r="H59" s="10" t="n">
        <v>3</v>
      </c>
      <c r="I59" s="10" t="inlineStr">
        <is>
          <t>COMPRAR</t>
        </is>
      </c>
      <c r="J59" s="12" t="inlineStr">
        <is>
          <t>LOBATOS - ILLRA (L-20/07 tarde): «Bolígrafos»
LOBATOS - Teleclub (M-21/07 noche): «Bolígrafos»
LOBATOS - El amuleto del elefante sagrado (orientación) (X-22/07 tarde): «5 bolígrafos»
LOBATOS - Promesas + progresión personal (S-25/07 mañana): «Bolígrafos»
LOBATOS - Velada de humor (D-26/07 noche): «Bolígrafos»
LOBATOS - Taller sexualidad: línea del tiempo (M-28/07 tarde 1): «Bolígrafos»
PIONEROS - Taller de estrellas (V-17/07 noche): «Bolígrafos/Rotus»
PIONEROS - Carrera de orientación (X-22/07 tarde): «Bolígrafos»
PIONEROS - Sexualidad (S-25/07 tarde 1): «Bolígrafos»
RUTAS PANDORA - PPV (V-17/07): «Bolígrafos»
RUTAS PANDORA - Reflexión personal (Reserva): «Bolígrafos»
RUTAS ICARO - Taller David (V-17/07): «Bolígrafo»</t>
        </is>
      </c>
      <c r="K59" s="13" t="inlineStr"/>
      <c r="L59" s="13" t="inlineStr"/>
    </row>
    <row r="60">
      <c r="A60" s="2" t="inlineStr">
        <is>
          <t>Botella de agua</t>
        </is>
      </c>
      <c r="B60" s="3" t="inlineStr">
        <is>
          <t>Otros</t>
        </is>
      </c>
      <c r="C60" s="6">
        <f>SUM(D60:H60)</f>
        <v/>
      </c>
      <c r="D60" s="3" t="n">
        <v>0</v>
      </c>
      <c r="E60" s="3" t="n">
        <v>1</v>
      </c>
      <c r="F60" s="3" t="n">
        <v>0</v>
      </c>
      <c r="G60" s="3" t="n">
        <v>0</v>
      </c>
      <c r="H60" s="3" t="n">
        <v>0</v>
      </c>
      <c r="I60" s="3" t="inlineStr">
        <is>
          <t>YA HAY (bases) - revisar</t>
        </is>
      </c>
      <c r="J60" s="7" t="inlineStr">
        <is>
          <t>LOBATOS - Piscina pueblo (con Pioneros) (J-23/07 día): «Botella de agua»</t>
        </is>
      </c>
      <c r="K60" s="8" t="inlineStr"/>
      <c r="L60" s="8" t="inlineStr"/>
    </row>
    <row r="61">
      <c r="A61" s="9" t="inlineStr">
        <is>
          <t>Botella de plástico</t>
        </is>
      </c>
      <c r="B61" s="10" t="inlineStr">
        <is>
          <t>Otros</t>
        </is>
      </c>
      <c r="C61" s="11">
        <f>SUM(D61:H61)</f>
        <v/>
      </c>
      <c r="D61" s="10" t="n">
        <v>0</v>
      </c>
      <c r="E61" s="10" t="n">
        <v>1</v>
      </c>
      <c r="F61" s="10" t="n">
        <v>0</v>
      </c>
      <c r="G61" s="10" t="n">
        <v>0</v>
      </c>
      <c r="H61" s="10" t="n">
        <v>2</v>
      </c>
      <c r="I61" s="10" t="inlineStr">
        <is>
          <t>YA HAY (bases) - revisar</t>
        </is>
      </c>
      <c r="J61" s="12" t="inlineStr">
        <is>
          <t>LOBATOS - Clan Ícaro: brújula casera y potabilizar (V-24/07 tarde 1): «Botella de plástico»
RUTAS PANDORA - Actividad de adicciones con pipis (J-16/07): «Botella de plástico»
RUTAS ICARO - Técnicas scouts (brújula casera, potabilizar) (V-24/07): «Botella de plástico»</t>
        </is>
      </c>
      <c r="K61" s="13" t="inlineStr"/>
      <c r="L61" s="13" t="inlineStr"/>
    </row>
    <row r="62">
      <c r="A62" s="2" t="inlineStr">
        <is>
          <t>Botellas de plástico</t>
        </is>
      </c>
      <c r="B62" s="3" t="inlineStr">
        <is>
          <t>Otros</t>
        </is>
      </c>
      <c r="C62" s="6">
        <f>SUM(D62:H62)</f>
        <v/>
      </c>
      <c r="D62" s="3" t="n">
        <v>0</v>
      </c>
      <c r="E62" s="3" t="n">
        <v>0</v>
      </c>
      <c r="F62" s="3" t="n">
        <v>0</v>
      </c>
      <c r="G62" s="3" t="n">
        <v>1</v>
      </c>
      <c r="H62" s="3" t="n">
        <v>1</v>
      </c>
      <c r="I62" s="3" t="inlineStr">
        <is>
          <t>YA HAY (bases) - revisar</t>
        </is>
      </c>
      <c r="J62" s="7" t="inlineStr">
        <is>
          <t>PIONEROS - Actividad Clan Ícaro - Drogas (S-18/07 tarde 1): «Botellas de plástico»
RUTAS ICARO - Taller para Pioneros - Drogas (S-18/07): «Botellas de plástico»</t>
        </is>
      </c>
      <c r="K62" s="8" t="inlineStr"/>
      <c r="L62" s="8" t="inlineStr"/>
    </row>
    <row r="63">
      <c r="A63" s="9" t="inlineStr">
        <is>
          <t>Botiquín de primeros auxilios / Tarjetas sanitarias</t>
        </is>
      </c>
      <c r="B63" s="10" t="inlineStr">
        <is>
          <t>Higiene/limpieza</t>
        </is>
      </c>
      <c r="C63" s="11">
        <f>SUM(D63:H63)</f>
        <v/>
      </c>
      <c r="D63" s="10" t="n">
        <v>2</v>
      </c>
      <c r="E63" s="10" t="n">
        <v>3</v>
      </c>
      <c r="F63" s="10" t="n">
        <v>8</v>
      </c>
      <c r="G63" s="10" t="n">
        <v>2</v>
      </c>
      <c r="H63" s="10" t="n">
        <v>4</v>
      </c>
      <c r="I63" s="10" t="inlineStr">
        <is>
          <t>YA HAY (bases) - revisar</t>
        </is>
      </c>
      <c r="J63" s="12" t="inlineStr">
        <is>
          <t>CASTORES - Acampada volante (x3 días) (D-19 a M-21/07): «Botiquín»
CASTORES - Acampada volante (x3 días) (D-19 a M-21/07): «Tarjetas sanitarias niños»
LOBATOS - Ruta volante (x3 días) (D-19 a M-21/07): «Botiquín»
LOBATOS - Ruta volante (x3 días) (D-19 a M-21/07): «Tarjetas sanitarias niños»
LOBATOS - Voluntariado conjunto Lobatos-Pioneros (J-23/07 mañana): «Botiquín»
EXPLORADORES - Preparación de volantes (S-18/07 tarde 2): «Botiquín con lo indispensable (kraalete)»
EXPLORADORES - Volante (x3 días) (D-19 a M-21/07): «Botiquín unidad»
EXPLORADORES - Velada de terror (X-22/07 noche): «5 vendas o pañuelos»
EXPLORADORES - Guardián de las llaves / Pueblo duerme (Lluvia): «Pañoleta para vendar ojos»
PIONEROS - Preparación volantes (S-18/07 tarde 2): «Botiquín pequeño»
PIONEROS - Volantes (x3 días) (D-19 a M-21/07): «Botiquín unidad»
RUTAS PANDORA - Acampada volante (x3 días) (D-19 a M-21/07): «Botiquín»
RUTAS PANDORA - Acampada volante (x3 días) (D-19 a M-21/07): «Tarjetas sanitarias»
RUTAS PANDORA - Cocina con hándicaps (gyozas/empanadillas) (J-23/07): «Pañoleta (vendar ojos)»
RUTAS PANDORA - Raids (L-27 a M-28/07): «Botiquín»
RUTAS ICARO - Preparación volantes (S-18/07 noche): «Botiquín unidad»
RUTAS ICARO - Volantes (x3 días) (D-19 a M-21/07): «Botiquín unidad»</t>
        </is>
      </c>
      <c r="K63" s="13" t="inlineStr"/>
      <c r="L63" s="13" t="inlineStr"/>
    </row>
    <row r="64">
      <c r="A64" s="2" t="inlineStr">
        <is>
          <t>Báscula</t>
        </is>
      </c>
      <c r="B64" s="3" t="inlineStr">
        <is>
          <t>Otros</t>
        </is>
      </c>
      <c r="C64" s="6">
        <f>SUM(D64:H64)</f>
        <v/>
      </c>
      <c r="D64" s="3" t="n">
        <v>0</v>
      </c>
      <c r="E64" s="3" t="n">
        <v>0</v>
      </c>
      <c r="F64" s="3" t="n">
        <v>1</v>
      </c>
      <c r="G64" s="3" t="n">
        <v>0</v>
      </c>
      <c r="H64" s="3" t="n">
        <v>0</v>
      </c>
      <c r="I64" s="3" t="inlineStr">
        <is>
          <t>YA HAY (bases) - revisar</t>
        </is>
      </c>
      <c r="J64" s="7" t="inlineStr">
        <is>
          <t>EXPLORADORES - Scape room (S-25/07 tarde 1): «Báscula»</t>
        </is>
      </c>
      <c r="K64" s="8" t="inlineStr"/>
      <c r="L64" s="8" t="inlineStr"/>
    </row>
    <row r="65">
      <c r="A65" s="9" t="inlineStr">
        <is>
          <t>Caja de madera que se pueda cerrar</t>
        </is>
      </c>
      <c r="B65" s="10" t="inlineStr">
        <is>
          <t>Otros</t>
        </is>
      </c>
      <c r="C65" s="11">
        <f>SUM(D65:H65)</f>
        <v/>
      </c>
      <c r="D65" s="10" t="n">
        <v>0</v>
      </c>
      <c r="E65" s="10" t="n">
        <v>0</v>
      </c>
      <c r="F65" s="10" t="n">
        <v>1</v>
      </c>
      <c r="G65" s="10" t="n">
        <v>0</v>
      </c>
      <c r="H65" s="10" t="n">
        <v>0</v>
      </c>
      <c r="I65" s="10" t="inlineStr">
        <is>
          <t>YA HAY (bases) - revisar</t>
        </is>
      </c>
      <c r="J65" s="12" t="inlineStr">
        <is>
          <t>EXPLORADORES - Actividad maristas (L-20/07 tarde): «Caja de madera que se pueda cerrar»</t>
        </is>
      </c>
      <c r="K65" s="13" t="inlineStr"/>
      <c r="L65" s="13" t="inlineStr"/>
    </row>
    <row r="66">
      <c r="A66" s="2" t="inlineStr">
        <is>
          <t>Caja de palillos (dientes)</t>
        </is>
      </c>
      <c r="B66" s="3" t="inlineStr">
        <is>
          <t>Papeleria/manualidades</t>
        </is>
      </c>
      <c r="C66" s="6">
        <f>SUM(D66:H66)</f>
        <v/>
      </c>
      <c r="D66" s="3" t="n">
        <v>1</v>
      </c>
      <c r="E66" s="3" t="n">
        <v>0</v>
      </c>
      <c r="F66" s="3" t="n">
        <v>0</v>
      </c>
      <c r="G66" s="3" t="n">
        <v>0</v>
      </c>
      <c r="H66" s="3" t="n">
        <v>0</v>
      </c>
      <c r="I66" s="3" t="inlineStr">
        <is>
          <t>COMPRAR</t>
        </is>
      </c>
      <c r="J66" s="7" t="inlineStr">
        <is>
          <t>CASTORES - Taller de arcilla (S-25/07 tarde 1): «Caja de palillos»</t>
        </is>
      </c>
      <c r="K66" s="8" t="inlineStr"/>
      <c r="L66" s="8" t="inlineStr"/>
    </row>
    <row r="67">
      <c r="A67" s="9" t="inlineStr">
        <is>
          <t>Cajas grandes de cartón del chino por niño +3</t>
        </is>
      </c>
      <c r="B67" s="10" t="inlineStr">
        <is>
          <t>Otros</t>
        </is>
      </c>
      <c r="C67" s="11">
        <f>SUM(D67:H67)</f>
        <v/>
      </c>
      <c r="D67" s="10" t="n">
        <v>1</v>
      </c>
      <c r="E67" s="10" t="n">
        <v>0</v>
      </c>
      <c r="F67" s="10" t="n">
        <v>0</v>
      </c>
      <c r="G67" s="10" t="n">
        <v>0</v>
      </c>
      <c r="H67" s="10" t="n">
        <v>0</v>
      </c>
      <c r="I67" s="10" t="inlineStr">
        <is>
          <t>YA HAY (bases) - revisar</t>
        </is>
      </c>
      <c r="J67" s="12" t="inlineStr">
        <is>
          <t>CASTORES - Organizar mochilero (J-16/07 tarde 1): «Cajas grandes de cartón del chino por niño +3»</t>
        </is>
      </c>
      <c r="K67" s="13" t="inlineStr"/>
      <c r="L67" s="13" t="inlineStr"/>
    </row>
    <row r="68">
      <c r="A68" s="2" t="inlineStr">
        <is>
          <t>Cancioneros</t>
        </is>
      </c>
      <c r="B68" s="3" t="inlineStr">
        <is>
          <t>Otros</t>
        </is>
      </c>
      <c r="C68" s="6">
        <f>SUM(D68:H68)</f>
        <v/>
      </c>
      <c r="D68" s="3" t="n">
        <v>0</v>
      </c>
      <c r="E68" s="3" t="n">
        <v>0</v>
      </c>
      <c r="F68" s="3" t="n">
        <v>2</v>
      </c>
      <c r="G68" s="3" t="n">
        <v>0</v>
      </c>
      <c r="H68" s="3" t="n">
        <v>0</v>
      </c>
      <c r="I68" s="3" t="inlineStr">
        <is>
          <t>YA HAY (bases) - revisar</t>
        </is>
      </c>
      <c r="J68" s="7" t="inlineStr">
        <is>
          <t>EXPLORADORES - Inauguración de la FELSA (V-17/07 tarde 2): «Cancioneros»
EXPLORADORES - FELSA (V-24/07 tarde 1): «Cancioneros»</t>
        </is>
      </c>
      <c r="K68" s="8" t="inlineStr"/>
      <c r="L68" s="8" t="inlineStr"/>
    </row>
    <row r="69">
      <c r="A69" s="9" t="inlineStr">
        <is>
          <t>Canicas</t>
        </is>
      </c>
      <c r="B69" s="10" t="inlineStr">
        <is>
          <t>Otros</t>
        </is>
      </c>
      <c r="C69" s="11">
        <f>SUM(D69:H69)</f>
        <v/>
      </c>
      <c r="D69" s="10" t="n">
        <v>1</v>
      </c>
      <c r="E69" s="10" t="n">
        <v>1</v>
      </c>
      <c r="F69" s="10" t="n">
        <v>0</v>
      </c>
      <c r="G69" s="10" t="n">
        <v>0</v>
      </c>
      <c r="H69" s="10" t="n">
        <v>0</v>
      </c>
      <c r="I69" s="10" t="inlineStr">
        <is>
          <t>YA HAY (bases) - revisar</t>
        </is>
      </c>
      <c r="J69" s="12" t="inlineStr">
        <is>
          <t>CASTORES - Actividad de agua: El descenso del Ganges (V-24/07 mañana): «Canicas»
LOBATOS - GRUPAL: Barracas - El Gran Bazar (D-26/07 tarde): «Canicas»</t>
        </is>
      </c>
      <c r="K69" s="13" t="inlineStr"/>
      <c r="L69" s="13" t="inlineStr"/>
    </row>
    <row r="70">
      <c r="A70" s="2" t="inlineStr">
        <is>
          <t>Carbón vegetal</t>
        </is>
      </c>
      <c r="B70" s="3" t="inlineStr">
        <is>
          <t>Otros</t>
        </is>
      </c>
      <c r="C70" s="6">
        <f>SUM(D70:H70)</f>
        <v/>
      </c>
      <c r="D70" s="3" t="n">
        <v>0</v>
      </c>
      <c r="E70" s="3" t="n">
        <v>1</v>
      </c>
      <c r="F70" s="3" t="n">
        <v>0</v>
      </c>
      <c r="G70" s="3" t="n">
        <v>0</v>
      </c>
      <c r="H70" s="3" t="n">
        <v>2</v>
      </c>
      <c r="I70" s="3" t="inlineStr">
        <is>
          <t>YA HAY (bases) - revisar</t>
        </is>
      </c>
      <c r="J70" s="7" t="inlineStr">
        <is>
          <t>LOBATOS - Clan Ícaro: brújula casera y potabilizar (V-24/07 tarde 1): «Carbón vegetal»
RUTAS PANDORA - Cambio climático y ecosistemas autosostenibles (S-25/07): «Carbón vegetal»
RUTAS ICARO - Técnicas scouts (brújula casera, potabilizar) (V-24/07): «Carbón vegetal»</t>
        </is>
      </c>
      <c r="K70" s="8" t="inlineStr"/>
      <c r="L70" s="8" t="inlineStr"/>
    </row>
    <row r="71">
      <c r="A71" s="9" t="inlineStr">
        <is>
          <t>Cartel rutas</t>
        </is>
      </c>
      <c r="B71" s="10" t="inlineStr">
        <is>
          <t>Otros</t>
        </is>
      </c>
      <c r="C71" s="11">
        <f>SUM(D71:H71)</f>
        <v/>
      </c>
      <c r="D71" s="10" t="n">
        <v>0</v>
      </c>
      <c r="E71" s="10" t="n">
        <v>0</v>
      </c>
      <c r="F71" s="10" t="n">
        <v>0</v>
      </c>
      <c r="G71" s="10" t="n">
        <v>0</v>
      </c>
      <c r="H71" s="10" t="n">
        <v>1</v>
      </c>
      <c r="I71" s="10" t="inlineStr">
        <is>
          <t>YA HAY (bases) - revisar</t>
        </is>
      </c>
      <c r="J71" s="12" t="inlineStr">
        <is>
          <t>RUTAS ICARO - Construcciones (J-16/07): «Cartel rutas»</t>
        </is>
      </c>
      <c r="K71" s="13" t="inlineStr"/>
      <c r="L71" s="13" t="inlineStr"/>
    </row>
    <row r="72">
      <c r="A72" s="2" t="inlineStr">
        <is>
          <t>Cartones</t>
        </is>
      </c>
      <c r="B72" s="3" t="inlineStr">
        <is>
          <t>Papeleria/manualidades</t>
        </is>
      </c>
      <c r="C72" s="6">
        <f>SUM(D72:H72)</f>
        <v/>
      </c>
      <c r="D72" s="3" t="n">
        <v>0</v>
      </c>
      <c r="E72" s="3" t="n">
        <v>1</v>
      </c>
      <c r="F72" s="3" t="n">
        <v>0</v>
      </c>
      <c r="G72" s="3" t="n">
        <v>1</v>
      </c>
      <c r="H72" s="3" t="n">
        <v>0</v>
      </c>
      <c r="I72" s="3" t="inlineStr">
        <is>
          <t>YA HAY (bases) - revisar</t>
        </is>
      </c>
      <c r="J72" s="7" t="inlineStr">
        <is>
          <t>LOBATOS - Hotel de insectos (M-28/07 mañana): «Cartones (3-4 cajas grandes)»
PIONEROS - Taller de tejer (Lluvia): «Cartones (recortes pequeños)»</t>
        </is>
      </c>
      <c r="K72" s="8" t="inlineStr"/>
      <c r="L72" s="8" t="inlineStr"/>
    </row>
    <row r="73">
      <c r="A73" s="9" t="inlineStr">
        <is>
          <t>Cartulina A3 grises claras</t>
        </is>
      </c>
      <c r="B73" s="10" t="inlineStr">
        <is>
          <t>Papeleria/manualidades</t>
        </is>
      </c>
      <c r="C73" s="11">
        <f>SUM(D73:H73)</f>
        <v/>
      </c>
      <c r="D73" s="10" t="n">
        <v>0</v>
      </c>
      <c r="E73" s="10" t="n">
        <v>0</v>
      </c>
      <c r="F73" s="10" t="n">
        <v>0</v>
      </c>
      <c r="G73" s="10" t="n">
        <v>0</v>
      </c>
      <c r="H73" s="10" t="n">
        <v>1</v>
      </c>
      <c r="I73" s="10" t="inlineStr">
        <is>
          <t>COMPRAR</t>
        </is>
      </c>
      <c r="J73" s="12" t="inlineStr">
        <is>
          <t>RUTAS ICARO - Velada Vision Board (V-17/07 noche): «Cartulina A3 grises claras»</t>
        </is>
      </c>
      <c r="K73" s="13" t="inlineStr"/>
      <c r="L73" s="13" t="inlineStr"/>
    </row>
    <row r="74">
      <c r="A74" s="2" t="inlineStr">
        <is>
          <t>Cartulina blanca A4</t>
        </is>
      </c>
      <c r="B74" s="3" t="inlineStr">
        <is>
          <t>Papeleria/manualidades</t>
        </is>
      </c>
      <c r="C74" s="6">
        <f>SUM(D74:H74)</f>
        <v/>
      </c>
      <c r="D74" s="3" t="n">
        <v>1</v>
      </c>
      <c r="E74" s="3" t="n">
        <v>0</v>
      </c>
      <c r="F74" s="3" t="n">
        <v>0</v>
      </c>
      <c r="G74" s="3" t="n">
        <v>0</v>
      </c>
      <c r="H74" s="3" t="n">
        <v>0</v>
      </c>
      <c r="I74" s="3" t="inlineStr">
        <is>
          <t>COMPRAR</t>
        </is>
      </c>
      <c r="J74" s="7" t="inlineStr">
        <is>
          <t>CASTORES - Actividad de agua: El descenso del Ganges (V-24/07 mañana): «Cartulina blanca A4»</t>
        </is>
      </c>
      <c r="K74" s="8" t="inlineStr"/>
      <c r="L74" s="8" t="inlineStr"/>
    </row>
    <row r="75">
      <c r="A75" s="9" t="inlineStr">
        <is>
          <t>Cartulina para el himno</t>
        </is>
      </c>
      <c r="B75" s="10" t="inlineStr">
        <is>
          <t>Papeleria/manualidades</t>
        </is>
      </c>
      <c r="C75" s="11">
        <f>SUM(D75:H75)</f>
        <v/>
      </c>
      <c r="D75" s="10" t="n">
        <v>0</v>
      </c>
      <c r="E75" s="10" t="n">
        <v>1</v>
      </c>
      <c r="F75" s="10" t="n">
        <v>0</v>
      </c>
      <c r="G75" s="10" t="n">
        <v>0</v>
      </c>
      <c r="H75" s="10" t="n">
        <v>0</v>
      </c>
      <c r="I75" s="10" t="inlineStr">
        <is>
          <t>COMPRAR</t>
        </is>
      </c>
      <c r="J75" s="12" t="inlineStr">
        <is>
          <t>LOBATOS - ILLRA (L-20/07 tarde): «Cartulina para el himno»</t>
        </is>
      </c>
      <c r="K75" s="13" t="inlineStr"/>
      <c r="L75" s="13" t="inlineStr"/>
    </row>
    <row r="76">
      <c r="A76" s="2" t="inlineStr">
        <is>
          <t>Cartulinas A4 de colores</t>
        </is>
      </c>
      <c r="B76" s="3" t="inlineStr">
        <is>
          <t>Papeleria/manualidades</t>
        </is>
      </c>
      <c r="C76" s="6">
        <f>SUM(D76:H76)</f>
        <v/>
      </c>
      <c r="D76" s="3" t="n">
        <v>2</v>
      </c>
      <c r="E76" s="3">
        <f>CONFIG!$B$3</f>
        <v/>
      </c>
      <c r="F76" s="3" t="n">
        <v>0</v>
      </c>
      <c r="G76" s="3" t="n">
        <v>0</v>
      </c>
      <c r="H76" s="3" t="n">
        <v>1</v>
      </c>
      <c r="I76" s="3" t="inlineStr">
        <is>
          <t>COMPRAR</t>
        </is>
      </c>
      <c r="J76" s="7" t="inlineStr">
        <is>
          <t>CASTORES - Actividad Clan Ícaro (X-22/07 tarde 2): «Cartulina»
CASTORES - Talleres pinza (Bolsa de juegos): «Cartulina»
LOBATOS - Territorios (V-17/07 tarde 1): «Cartulinas A4»
RUTAS ICARO - Actividad para Castores (X-22/07): «Cartulina»</t>
        </is>
      </c>
      <c r="K76" s="8" t="inlineStr"/>
      <c r="L76" s="8" t="inlineStr"/>
    </row>
    <row r="77">
      <c r="A77" s="9" t="inlineStr">
        <is>
          <t>Cartulinas amarillas 2 A4</t>
        </is>
      </c>
      <c r="B77" s="10" t="inlineStr">
        <is>
          <t>Papeleria/manualidades</t>
        </is>
      </c>
      <c r="C77" s="11">
        <f>SUM(D77:H77)</f>
        <v/>
      </c>
      <c r="D77" s="10" t="n">
        <v>0</v>
      </c>
      <c r="E77" s="10" t="n">
        <v>0</v>
      </c>
      <c r="F77" s="10" t="n">
        <v>0</v>
      </c>
      <c r="G77" s="10" t="n">
        <v>1</v>
      </c>
      <c r="H77" s="10" t="n">
        <v>0</v>
      </c>
      <c r="I77" s="10" t="inlineStr">
        <is>
          <t>COMPRAR</t>
        </is>
      </c>
      <c r="J77" s="12" t="inlineStr">
        <is>
          <t>PIONEROS - Taller de estrellas (V-17/07 noche): «Cartulinas amarillas 2 A4»</t>
        </is>
      </c>
      <c r="K77" s="13" t="inlineStr"/>
      <c r="L77" s="13" t="inlineStr"/>
    </row>
    <row r="78">
      <c r="A78" s="2" t="inlineStr">
        <is>
          <t>Cartulinas de colores A4 (1 por niño)</t>
        </is>
      </c>
      <c r="B78" s="3" t="inlineStr">
        <is>
          <t>Papeleria/manualidades</t>
        </is>
      </c>
      <c r="C78" s="6">
        <f>SUM(D78:H78)</f>
        <v/>
      </c>
      <c r="D78" s="3" t="n">
        <v>1</v>
      </c>
      <c r="E78" s="3" t="n">
        <v>0</v>
      </c>
      <c r="F78" s="3" t="n">
        <v>0</v>
      </c>
      <c r="G78" s="3" t="n">
        <v>0</v>
      </c>
      <c r="H78" s="3" t="n">
        <v>0</v>
      </c>
      <c r="I78" s="3" t="inlineStr">
        <is>
          <t>COMPRAR</t>
        </is>
      </c>
      <c r="J78" s="7" t="inlineStr">
        <is>
          <t>CASTORES - Taller de sobres y cartas (Bolsa de juegos): «Cartulinas de colores A4 (1 por niño)»</t>
        </is>
      </c>
      <c r="K78" s="8" t="inlineStr"/>
      <c r="L78" s="8" t="inlineStr"/>
    </row>
    <row r="79">
      <c r="A79" s="9" t="inlineStr">
        <is>
          <t>Cartulinas negras</t>
        </is>
      </c>
      <c r="B79" s="10" t="inlineStr">
        <is>
          <t>Papeleria/manualidades</t>
        </is>
      </c>
      <c r="C79" s="11">
        <f>SUM(D79:H79)</f>
        <v/>
      </c>
      <c r="D79" s="10" t="n">
        <v>0</v>
      </c>
      <c r="E79" s="10" t="n">
        <v>20</v>
      </c>
      <c r="F79" s="10" t="n">
        <v>0</v>
      </c>
      <c r="G79" s="10" t="n">
        <v>0</v>
      </c>
      <c r="H79" s="10" t="n">
        <v>0</v>
      </c>
      <c r="I79" s="10" t="inlineStr">
        <is>
          <t>COMPRAR</t>
        </is>
      </c>
      <c r="J79" s="12" t="inlineStr">
        <is>
          <t>LOBATOS - Taller de estrellas (X-22/07 noche): «20 cartulinas negras»</t>
        </is>
      </c>
      <c r="K79" s="13" t="inlineStr"/>
      <c r="L79" s="13" t="inlineStr"/>
    </row>
    <row r="80">
      <c r="A80" s="2" t="inlineStr">
        <is>
          <t>Cascos inalámbricos y un móvil (o tapones)</t>
        </is>
      </c>
      <c r="B80" s="3" t="inlineStr">
        <is>
          <t>Otros</t>
        </is>
      </c>
      <c r="C80" s="6">
        <f>SUM(D80:H80)</f>
        <v/>
      </c>
      <c r="D80" s="3" t="n">
        <v>0</v>
      </c>
      <c r="E80" s="3" t="n">
        <v>0</v>
      </c>
      <c r="F80" s="3" t="n">
        <v>0</v>
      </c>
      <c r="G80" s="3" t="n">
        <v>0</v>
      </c>
      <c r="H80" s="3" t="n">
        <v>1</v>
      </c>
      <c r="I80" s="3" t="inlineStr">
        <is>
          <t>YA HAY (bases) - revisar</t>
        </is>
      </c>
      <c r="J80" s="7" t="inlineStr">
        <is>
          <t>RUTAS PANDORA - Cocina con hándicaps (gyozas/empanadillas) (J-23/07): «Cascos inalámbricos y un móvil (o tapones)»</t>
        </is>
      </c>
      <c r="K80" s="8" t="inlineStr"/>
      <c r="L80" s="8" t="inlineStr"/>
    </row>
    <row r="81">
      <c r="A81" s="9" t="inlineStr">
        <is>
          <t>Casquería (texturas, en descripción)</t>
        </is>
      </c>
      <c r="B81" s="10" t="inlineStr">
        <is>
          <t>Otros</t>
        </is>
      </c>
      <c r="C81" s="11">
        <f>SUM(D81:H81)</f>
        <v/>
      </c>
      <c r="D81" s="10" t="n">
        <v>1</v>
      </c>
      <c r="E81" s="10" t="n">
        <v>0</v>
      </c>
      <c r="F81" s="10" t="n">
        <v>0</v>
      </c>
      <c r="G81" s="10" t="n">
        <v>0</v>
      </c>
      <c r="H81" s="10" t="n">
        <v>0</v>
      </c>
      <c r="I81" s="10" t="inlineStr">
        <is>
          <t>YA HAY (bases) - revisar</t>
        </is>
      </c>
      <c r="J81" s="12" t="inlineStr">
        <is>
          <t>CASTORES - Entrenamiento Caza Gamusino (M-21/07 tarde 1): «Casquería (texturas, en descripción)»</t>
        </is>
      </c>
      <c r="K81" s="13" t="inlineStr"/>
      <c r="L81" s="13" t="inlineStr"/>
    </row>
    <row r="82">
      <c r="A82" s="2" t="inlineStr">
        <is>
          <t>Celo</t>
        </is>
      </c>
      <c r="B82" s="3" t="inlineStr">
        <is>
          <t>Papeleria/manualidades</t>
        </is>
      </c>
      <c r="C82" s="6">
        <f>SUM(D82:H82)</f>
        <v/>
      </c>
      <c r="D82" s="3" t="n">
        <v>2</v>
      </c>
      <c r="E82" s="3" t="n">
        <v>1</v>
      </c>
      <c r="F82" s="3" t="n">
        <v>0</v>
      </c>
      <c r="G82" s="3" t="n">
        <v>1</v>
      </c>
      <c r="H82" s="3" t="n">
        <v>0</v>
      </c>
      <c r="I82" s="3" t="inlineStr">
        <is>
          <t>COMPRAR</t>
        </is>
      </c>
      <c r="J82" s="7" t="inlineStr">
        <is>
          <t>CASTORES - Normas de campamento + juegos (J-16/07 tarde 2): «Celo gordo»
CASTORES - T.E.G.A. (Torneo de Globos) (V-17/07 tarde 2): «Celo»
LOBATOS - Taller de pulseras (D-19/07 tarde): «Celo»
PIONEROS - Pulseras (Lluvia): «Celo»</t>
        </is>
      </c>
      <c r="K82" s="8" t="inlineStr"/>
      <c r="L82" s="8" t="inlineStr"/>
    </row>
    <row r="83">
      <c r="A83" s="9" t="inlineStr">
        <is>
          <t>Cerillas o mechero</t>
        </is>
      </c>
      <c r="B83" s="10" t="inlineStr">
        <is>
          <t>Otros</t>
        </is>
      </c>
      <c r="C83" s="11">
        <f>SUM(D83:H83)</f>
        <v/>
      </c>
      <c r="D83" s="10" t="n">
        <v>0</v>
      </c>
      <c r="E83" s="10" t="n">
        <v>0</v>
      </c>
      <c r="F83" s="10" t="n">
        <v>0</v>
      </c>
      <c r="G83" s="10" t="n">
        <v>0</v>
      </c>
      <c r="H83" s="10" t="n">
        <v>1</v>
      </c>
      <c r="I83" s="10" t="inlineStr">
        <is>
          <t>YA HAY (bases) - revisar</t>
        </is>
      </c>
      <c r="J83" s="12" t="inlineStr">
        <is>
          <t>RUTAS PANDORA - Acampada volante (x3 días) (D-19 a M-21/07): «Cerillas o mechero»</t>
        </is>
      </c>
      <c r="K83" s="13" t="inlineStr"/>
      <c r="L83" s="13" t="inlineStr"/>
    </row>
    <row r="84">
      <c r="A84" s="2" t="inlineStr">
        <is>
          <t>Cerillas/mecheros</t>
        </is>
      </c>
      <c r="B84" s="3" t="inlineStr">
        <is>
          <t>Otros</t>
        </is>
      </c>
      <c r="C84" s="6">
        <f>SUM(D84:H84)</f>
        <v/>
      </c>
      <c r="D84" s="3" t="n">
        <v>0</v>
      </c>
      <c r="E84" s="3" t="n">
        <v>0</v>
      </c>
      <c r="F84" s="3" t="n">
        <v>0</v>
      </c>
      <c r="G84" s="3" t="n">
        <v>0</v>
      </c>
      <c r="H84" s="3" t="n">
        <v>1</v>
      </c>
      <c r="I84" s="3" t="inlineStr">
        <is>
          <t>YA HAY (bases) - revisar</t>
        </is>
      </c>
      <c r="J84" s="7" t="inlineStr">
        <is>
          <t>RUTAS PANDORA - Línea de la vida (Volante noche): «Cerillas/mecheros»</t>
        </is>
      </c>
      <c r="K84" s="8" t="inlineStr"/>
      <c r="L84" s="8" t="inlineStr"/>
    </row>
    <row r="85">
      <c r="A85" s="9" t="inlineStr">
        <is>
          <t>Chalecos</t>
        </is>
      </c>
      <c r="B85" s="10" t="inlineStr">
        <is>
          <t>Otros</t>
        </is>
      </c>
      <c r="C85" s="11">
        <f>SUM(D85:H85)</f>
        <v/>
      </c>
      <c r="D85" s="10" t="n">
        <v>0</v>
      </c>
      <c r="E85" s="10" t="n">
        <v>0</v>
      </c>
      <c r="F85" s="10" t="n">
        <v>1</v>
      </c>
      <c r="G85" s="10" t="n">
        <v>1</v>
      </c>
      <c r="H85" s="10" t="n">
        <v>5</v>
      </c>
      <c r="I85" s="10" t="inlineStr">
        <is>
          <t>YA HAY (bases) - revisar</t>
        </is>
      </c>
      <c r="J85" s="12" t="inlineStr">
        <is>
          <t>EXPLORADORES - Volante (x3 días) (D-19 a M-21/07): «Chalecos»
PIONEROS - Volantes (x3 días) (D-19 a M-21/07): «Chalecos»
RUTAS PANDORA - Acampada volante (x3 días) (D-19 a M-21/07): «Chalecos»
RUTAS PANDORA - Raids (L-27 a M-28/07): «Chalecos»
RUTAS ICARO - Preparación volantes (S-18/07 noche): «Chalecos»
RUTAS ICARO - Volantes (x3 días) (D-19 a M-21/07): «Chalecos»
RUTAS ICARO - Voluntariado Manuela (J-23/07): «Chalecos»</t>
        </is>
      </c>
      <c r="K85" s="13" t="inlineStr"/>
      <c r="L85" s="13" t="inlineStr"/>
    </row>
    <row r="86">
      <c r="A86" s="2" t="inlineStr">
        <is>
          <t>Chalecos reflectantes</t>
        </is>
      </c>
      <c r="B86" s="3" t="inlineStr">
        <is>
          <t>Otros</t>
        </is>
      </c>
      <c r="C86" s="6">
        <f>SUM(D86:H86)</f>
        <v/>
      </c>
      <c r="D86" s="3" t="n">
        <v>0</v>
      </c>
      <c r="E86" s="3" t="n">
        <v>0</v>
      </c>
      <c r="F86" s="3" t="n">
        <v>1</v>
      </c>
      <c r="G86" s="3" t="n">
        <v>0</v>
      </c>
      <c r="H86" s="3" t="n">
        <v>1</v>
      </c>
      <c r="I86" s="3" t="inlineStr">
        <is>
          <t>YA HAY (bases) - revisar</t>
        </is>
      </c>
      <c r="J86" s="7" t="inlineStr">
        <is>
          <t>EXPLORADORES - Servicio en el pueblo (J-23/07 mañana): «Chalecos reflectantes»
RUTAS ICARO - Raids (L-27 a M-28/07): «Chalecos reflectantes»</t>
        </is>
      </c>
      <c r="K86" s="8" t="inlineStr"/>
      <c r="L86" s="8" t="inlineStr"/>
    </row>
    <row r="87">
      <c r="A87" s="9" t="inlineStr">
        <is>
          <t>Chalecos reflectantes 1 por explorador y kraalete</t>
        </is>
      </c>
      <c r="B87" s="10" t="inlineStr">
        <is>
          <t>Otros</t>
        </is>
      </c>
      <c r="C87" s="11">
        <f>SUM(D87:H87)</f>
        <v/>
      </c>
      <c r="D87" s="10" t="n">
        <v>0</v>
      </c>
      <c r="E87" s="10" t="n">
        <v>0</v>
      </c>
      <c r="F87" s="10" t="n">
        <v>1</v>
      </c>
      <c r="G87" s="10" t="n">
        <v>0</v>
      </c>
      <c r="H87" s="10" t="n">
        <v>0</v>
      </c>
      <c r="I87" s="10" t="inlineStr">
        <is>
          <t>YA HAY (bases) - revisar</t>
        </is>
      </c>
      <c r="J87" s="12" t="inlineStr">
        <is>
          <t>EXPLORADORES - Raids (L-27/07): «Chalecos reflectantes 1 por explorador y kraalete»</t>
        </is>
      </c>
      <c r="K87" s="13" t="inlineStr"/>
      <c r="L87" s="13" t="inlineStr"/>
    </row>
    <row r="88">
      <c r="A88" s="2" t="inlineStr">
        <is>
          <t>Chapa naranja (vueltas de pañoleta)</t>
        </is>
      </c>
      <c r="B88" s="3" t="inlineStr">
        <is>
          <t>Otros</t>
        </is>
      </c>
      <c r="C88" s="6">
        <f>SUM(D88:H88)</f>
        <v/>
      </c>
      <c r="D88" s="3" t="n">
        <v>1</v>
      </c>
      <c r="E88" s="3" t="n">
        <v>0</v>
      </c>
      <c r="F88" s="3" t="n">
        <v>0</v>
      </c>
      <c r="G88" s="3" t="n">
        <v>0</v>
      </c>
      <c r="H88" s="3" t="n">
        <v>0</v>
      </c>
      <c r="I88" s="3" t="inlineStr">
        <is>
          <t>YA HAY (bases) - revisar</t>
        </is>
      </c>
      <c r="J88" s="7" t="inlineStr">
        <is>
          <t>CASTORES - Consejo de troncos (V-24/07 noche): «Chapa naranja (vueltas de pañoleta)»</t>
        </is>
      </c>
      <c r="K88" s="8" t="inlineStr"/>
      <c r="L88" s="8" t="inlineStr"/>
    </row>
    <row r="89">
      <c r="A89" s="9" t="inlineStr">
        <is>
          <t>Chinchetas</t>
        </is>
      </c>
      <c r="B89" s="10" t="inlineStr">
        <is>
          <t>Papeleria/manualidades</t>
        </is>
      </c>
      <c r="C89" s="11">
        <f>SUM(D89:H89)</f>
        <v/>
      </c>
      <c r="D89" s="10" t="n">
        <v>0</v>
      </c>
      <c r="E89" s="10" t="n">
        <v>0</v>
      </c>
      <c r="F89" s="10" t="n">
        <v>2</v>
      </c>
      <c r="G89" s="10" t="n">
        <v>0</v>
      </c>
      <c r="H89" s="10" t="n">
        <v>0</v>
      </c>
      <c r="I89" s="10" t="inlineStr">
        <is>
          <t>COMPRAR</t>
        </is>
      </c>
      <c r="J89" s="12" t="inlineStr">
        <is>
          <t>EXPLORADORES - Inauguración de la FELSA (V-17/07 tarde 2): «Chinchetas»
EXPLORADORES - FELSA (V-24/07 tarde 1): «Chinchetas»</t>
        </is>
      </c>
      <c r="K89" s="13" t="inlineStr"/>
      <c r="L89" s="13" t="inlineStr"/>
    </row>
    <row r="90">
      <c r="A90" s="2" t="inlineStr">
        <is>
          <t>Churros</t>
        </is>
      </c>
      <c r="B90" s="3" t="inlineStr">
        <is>
          <t>Otros</t>
        </is>
      </c>
      <c r="C90" s="6">
        <f>SUM(D90:H90)</f>
        <v/>
      </c>
      <c r="D90" s="3" t="n">
        <v>0</v>
      </c>
      <c r="E90" s="3" t="n">
        <v>1</v>
      </c>
      <c r="F90" s="3" t="n">
        <v>0</v>
      </c>
      <c r="G90" s="3" t="n">
        <v>0</v>
      </c>
      <c r="H90" s="3" t="n">
        <v>0</v>
      </c>
      <c r="I90" s="3" t="inlineStr">
        <is>
          <t>YA HAY (bases) - revisar</t>
        </is>
      </c>
      <c r="J90" s="7" t="inlineStr">
        <is>
          <t>LOBATOS - Gymkana de agua (V-24/07 mañana): «Churros»</t>
        </is>
      </c>
      <c r="K90" s="8" t="inlineStr"/>
      <c r="L90" s="8" t="inlineStr"/>
    </row>
    <row r="91">
      <c r="A91" s="9" t="inlineStr">
        <is>
          <t>Cigarrillos</t>
        </is>
      </c>
      <c r="B91" s="10" t="inlineStr">
        <is>
          <t>Papeleria/manualidades</t>
        </is>
      </c>
      <c r="C91" s="11">
        <f>SUM(D91:H91)</f>
        <v/>
      </c>
      <c r="D91" s="10" t="n">
        <v>0</v>
      </c>
      <c r="E91" s="10" t="n">
        <v>0</v>
      </c>
      <c r="F91" s="10" t="n">
        <v>0</v>
      </c>
      <c r="G91" s="10" t="n">
        <v>1</v>
      </c>
      <c r="H91" s="10" t="n">
        <v>2</v>
      </c>
      <c r="I91" s="10" t="inlineStr">
        <is>
          <t>COMPRAR</t>
        </is>
      </c>
      <c r="J91" s="12" t="inlineStr">
        <is>
          <t>PIONEROS - Actividad Clan Ícaro - Drogas (S-18/07 tarde 1): «Cigarrillos»
RUTAS PANDORA - Actividad de adicciones con pipis (J-16/07): «Cigarrillos»
RUTAS ICARO - Taller para Pioneros - Drogas (S-18/07): «Cigarrillos»</t>
        </is>
      </c>
      <c r="K91" s="13" t="inlineStr"/>
      <c r="L91" s="13" t="inlineStr"/>
    </row>
    <row r="92">
      <c r="A92" s="2" t="inlineStr">
        <is>
          <t>Cinta adhesiva / precinto</t>
        </is>
      </c>
      <c r="B92" s="3" t="inlineStr">
        <is>
          <t>Papeleria/manualidades</t>
        </is>
      </c>
      <c r="C92" s="6">
        <f>SUM(D92:H92)</f>
        <v/>
      </c>
      <c r="D92" s="3" t="n">
        <v>0</v>
      </c>
      <c r="E92" s="3" t="n">
        <v>1</v>
      </c>
      <c r="F92" s="3" t="n">
        <v>0</v>
      </c>
      <c r="G92" s="3" t="n">
        <v>2</v>
      </c>
      <c r="H92" s="3" t="n">
        <v>0</v>
      </c>
      <c r="I92" s="3" t="inlineStr">
        <is>
          <t>COMPRAR</t>
        </is>
      </c>
      <c r="J92" s="7" t="inlineStr">
        <is>
          <t>LOBATOS - Territorios (V-17/07 tarde 1): «Precinto»
PIONEROS - Taller de estrellas (V-17/07 noche): «Precinto»
PIONEROS - Sexualidad (S-25/07 tarde 1): «Cinta adhesiva»</t>
        </is>
      </c>
      <c r="K92" s="8" t="inlineStr"/>
      <c r="L92" s="8" t="inlineStr"/>
    </row>
    <row r="93">
      <c r="A93" s="9" t="inlineStr">
        <is>
          <t>Cinta aislante de colores</t>
        </is>
      </c>
      <c r="B93" s="10" t="inlineStr">
        <is>
          <t>Papeleria/manualidades</t>
        </is>
      </c>
      <c r="C93" s="11">
        <f>SUM(D93:H93)</f>
        <v/>
      </c>
      <c r="D93" s="10" t="n">
        <v>1</v>
      </c>
      <c r="E93" s="10" t="n">
        <v>0</v>
      </c>
      <c r="F93" s="10" t="n">
        <v>1</v>
      </c>
      <c r="G93" s="10" t="n">
        <v>0</v>
      </c>
      <c r="H93" s="10" t="n">
        <v>2</v>
      </c>
      <c r="I93" s="10" t="inlineStr">
        <is>
          <t>COMPRAR</t>
        </is>
      </c>
      <c r="J93" s="12" t="inlineStr">
        <is>
          <t>CASTORES - Taller constelaciones (S-18/07 noche): «Aislantes»
EXPLORADORES - Juegos (Tropiolimpiadas - cerbatanas) (J-16/07 tarde): «Cinta aislante de colores»
RUTAS PANDORA - Línea de la vida (Volante noche): «Aislantes»
RUTAS PANDORA - Cocina con hándicaps (gyozas/empanadillas) (J-23/07): «Cinta aislante»
RUTAS ICARO - Línea de la vida (Volante noche): «Aislantes»</t>
        </is>
      </c>
      <c r="K93" s="13" t="inlineStr"/>
      <c r="L93" s="13" t="inlineStr"/>
    </row>
    <row r="94">
      <c r="A94" s="2" t="inlineStr">
        <is>
          <t>Cinta americana</t>
        </is>
      </c>
      <c r="B94" s="3" t="inlineStr">
        <is>
          <t>Papeleria/manualidades</t>
        </is>
      </c>
      <c r="C94" s="6">
        <f>SUM(D94:H94)</f>
        <v/>
      </c>
      <c r="D94" s="3" t="n">
        <v>0</v>
      </c>
      <c r="E94" s="3" t="n">
        <v>0</v>
      </c>
      <c r="F94" s="3" t="n">
        <v>1</v>
      </c>
      <c r="G94" s="3" t="n">
        <v>0</v>
      </c>
      <c r="H94" s="3" t="n">
        <v>0</v>
      </c>
      <c r="I94" s="3" t="inlineStr">
        <is>
          <t>COMPRAR</t>
        </is>
      </c>
      <c r="J94" s="7" t="inlineStr">
        <is>
          <t>EXPLORADORES - Jugger (X-22/07 tarde 2): «Cinta americana»</t>
        </is>
      </c>
      <c r="K94" s="8" t="inlineStr"/>
      <c r="L94" s="8" t="inlineStr"/>
    </row>
    <row r="95">
      <c r="A95" s="9" t="inlineStr">
        <is>
          <t>Cinta de regalo</t>
        </is>
      </c>
      <c r="B95" s="10" t="inlineStr">
        <is>
          <t>Papeleria/manualidades</t>
        </is>
      </c>
      <c r="C95" s="11">
        <f>SUM(D95:H95)</f>
        <v/>
      </c>
      <c r="D95" s="10" t="n">
        <v>0</v>
      </c>
      <c r="E95" s="10" t="n">
        <v>1</v>
      </c>
      <c r="F95" s="10" t="n">
        <v>0</v>
      </c>
      <c r="G95" s="10" t="n">
        <v>0</v>
      </c>
      <c r="H95" s="10" t="n">
        <v>0</v>
      </c>
      <c r="I95" s="10" t="inlineStr">
        <is>
          <t>COMPRAR</t>
        </is>
      </c>
      <c r="J95" s="12" t="inlineStr">
        <is>
          <t>LOBATOS - Atrapasueños (L-27/07 tarde 1): «Cinta de regalo (mucha)»</t>
        </is>
      </c>
      <c r="K95" s="13" t="inlineStr"/>
      <c r="L95" s="13" t="inlineStr"/>
    </row>
    <row r="96">
      <c r="A96" s="2" t="inlineStr">
        <is>
          <t>Cinta roja, verde y azul (2m de cada)</t>
        </is>
      </c>
      <c r="B96" s="3" t="inlineStr">
        <is>
          <t>Papeleria/manualidades</t>
        </is>
      </c>
      <c r="C96" s="6">
        <f>SUM(D96:H96)</f>
        <v/>
      </c>
      <c r="D96" s="3" t="n">
        <v>0</v>
      </c>
      <c r="E96" s="3" t="n">
        <v>0</v>
      </c>
      <c r="F96" s="3" t="n">
        <v>2</v>
      </c>
      <c r="G96" s="3" t="n">
        <v>0</v>
      </c>
      <c r="H96" s="3" t="n">
        <v>0</v>
      </c>
      <c r="I96" s="3" t="inlineStr">
        <is>
          <t>COMPRAR</t>
        </is>
      </c>
      <c r="J96" s="7" t="inlineStr">
        <is>
          <t>EXPLORADORES - Carrera de orientación nocturna (V-24/07 noche): «Cinta roja, verde y azul (2m de cada)»</t>
        </is>
      </c>
      <c r="K96" s="8" t="inlineStr"/>
      <c r="L96" s="8" t="inlineStr"/>
    </row>
    <row r="97">
      <c r="A97" s="9" t="inlineStr">
        <is>
          <t>Cintas reflectantes</t>
        </is>
      </c>
      <c r="B97" s="10" t="inlineStr">
        <is>
          <t>Papeleria/manualidades</t>
        </is>
      </c>
      <c r="C97" s="11">
        <f>SUM(D97:H97)</f>
        <v/>
      </c>
      <c r="D97" s="10" t="n">
        <v>2</v>
      </c>
      <c r="E97" s="10" t="n">
        <v>0</v>
      </c>
      <c r="F97" s="10" t="n">
        <v>1</v>
      </c>
      <c r="G97" s="10" t="n">
        <v>0</v>
      </c>
      <c r="H97" s="10" t="n">
        <v>0</v>
      </c>
      <c r="I97" s="10" t="inlineStr">
        <is>
          <t>COMPRAR</t>
        </is>
      </c>
      <c r="J97" s="12" t="inlineStr">
        <is>
          <t>CASTORES - Rastreo nocturno (V-17/07 noche): «Cintas reflectantes amarillas»
CASTORES - Rastreo nocturno (V-17/07 noche): «Cintas reflectantes naranjas»
EXPLORADORES - Carrera de orientación nocturna (V-24/07 noche): «Cintas reflectantes»</t>
        </is>
      </c>
      <c r="K97" s="13" t="inlineStr"/>
      <c r="L97" s="13" t="inlineStr"/>
    </row>
    <row r="98">
      <c r="A98" s="2" t="inlineStr">
        <is>
          <t>Clavos</t>
        </is>
      </c>
      <c r="B98" s="3" t="inlineStr">
        <is>
          <t>Construccion/herramientas</t>
        </is>
      </c>
      <c r="C98" s="6">
        <f>SUM(D98:H98)</f>
        <v/>
      </c>
      <c r="D98" s="3" t="n">
        <v>0</v>
      </c>
      <c r="E98" s="3" t="n">
        <v>1</v>
      </c>
      <c r="F98" s="3" t="n">
        <v>2</v>
      </c>
      <c r="G98" s="3" t="n">
        <v>0</v>
      </c>
      <c r="H98" s="3" t="n">
        <v>1</v>
      </c>
      <c r="I98" s="3" t="inlineStr">
        <is>
          <t>COMPRAR</t>
        </is>
      </c>
      <c r="J98" s="7" t="inlineStr">
        <is>
          <t>LOBATOS - Construcción de parcela (J-16/07 tarde 1): «Clavos»
EXPLORADORES - Construcciones rústicas (J-16/07 mañana+tarde): «Clavos (indeterminados)»
EXPLORADORES - Construcciones adicionales (V-17/07 tarde 1): «Clavos»
RUTAS ICARO - OLIMPIADAS (grupal) (X-29/07 mañana): «Clavos»</t>
        </is>
      </c>
      <c r="K98" s="8" t="inlineStr"/>
      <c r="L98" s="8" t="inlineStr"/>
    </row>
    <row r="99">
      <c r="A99" s="9" t="inlineStr">
        <is>
          <t>Coche/furgo para llegar</t>
        </is>
      </c>
      <c r="B99" s="10" t="inlineStr">
        <is>
          <t>Otros</t>
        </is>
      </c>
      <c r="C99" s="11">
        <f>SUM(D99:H99)</f>
        <v/>
      </c>
      <c r="D99" s="10" t="n">
        <v>0</v>
      </c>
      <c r="E99" s="10" t="n">
        <v>0</v>
      </c>
      <c r="F99" s="10" t="n">
        <v>0</v>
      </c>
      <c r="G99" s="10" t="n">
        <v>0</v>
      </c>
      <c r="H99" s="10" t="n">
        <v>1</v>
      </c>
      <c r="I99" s="10" t="inlineStr">
        <is>
          <t>YA HAY (bases) - revisar</t>
        </is>
      </c>
      <c r="J99" s="12" t="inlineStr">
        <is>
          <t>RUTAS PANDORA - Voluntariado Neila (V-24/07): «Coche/furgo para llegar»</t>
        </is>
      </c>
      <c r="K99" s="13" t="inlineStr"/>
      <c r="L99" s="13" t="inlineStr"/>
    </row>
    <row r="100">
      <c r="A100" s="2" t="inlineStr">
        <is>
          <t>Cofre cerrado con candado y varias llaves</t>
        </is>
      </c>
      <c r="B100" s="3" t="inlineStr">
        <is>
          <t>Otros</t>
        </is>
      </c>
      <c r="C100" s="6">
        <f>SUM(D100:H100)</f>
        <v/>
      </c>
      <c r="D100" s="3" t="n">
        <v>0</v>
      </c>
      <c r="E100" s="3" t="n">
        <v>0</v>
      </c>
      <c r="F100" s="3" t="n">
        <v>1</v>
      </c>
      <c r="G100" s="3" t="n">
        <v>0</v>
      </c>
      <c r="H100" s="3" t="n">
        <v>0</v>
      </c>
      <c r="I100" s="3" t="inlineStr">
        <is>
          <t>YA HAY (bases) - revisar</t>
        </is>
      </c>
      <c r="J100" s="7" t="inlineStr">
        <is>
          <t>EXPLORADORES - Presentación profunda (V-17/07 mañana): «Cofre cerrado con candado y varias llaves»</t>
        </is>
      </c>
      <c r="K100" s="8" t="inlineStr"/>
      <c r="L100" s="8" t="inlineStr"/>
    </row>
    <row r="101">
      <c r="A101" s="9" t="inlineStr">
        <is>
          <t>Cola blanca 2 botes</t>
        </is>
      </c>
      <c r="B101" s="10" t="inlineStr">
        <is>
          <t>Otros</t>
        </is>
      </c>
      <c r="C101" s="11">
        <f>SUM(D101:H101)</f>
        <v/>
      </c>
      <c r="D101" s="10" t="n">
        <v>2</v>
      </c>
      <c r="E101" s="10" t="n">
        <v>0</v>
      </c>
      <c r="F101" s="10" t="n">
        <v>0</v>
      </c>
      <c r="G101" s="10" t="n">
        <v>0</v>
      </c>
      <c r="H101" s="10" t="n">
        <v>0</v>
      </c>
      <c r="I101" s="10" t="inlineStr">
        <is>
          <t>YA HAY (bases) - revisar</t>
        </is>
      </c>
      <c r="J101" s="12" t="inlineStr">
        <is>
          <t>CASTORES - Actividad de agua: El descenso del Ganges (V-24/07 mañana): «Cola blanca 2 botes»</t>
        </is>
      </c>
      <c r="K101" s="13" t="inlineStr"/>
      <c r="L101" s="13" t="inlineStr"/>
    </row>
    <row r="102">
      <c r="A102" s="2" t="inlineStr">
        <is>
          <t>Cola de ratón</t>
        </is>
      </c>
      <c r="B102" s="3" t="inlineStr">
        <is>
          <t>Papeleria/manualidades</t>
        </is>
      </c>
      <c r="C102" s="6">
        <f>SUM(D102:H102)</f>
        <v/>
      </c>
      <c r="D102" s="3" t="n">
        <v>0</v>
      </c>
      <c r="E102" s="3" t="n">
        <v>2</v>
      </c>
      <c r="F102" s="3" t="n">
        <v>0</v>
      </c>
      <c r="G102" s="3" t="n">
        <v>0</v>
      </c>
      <c r="H102" s="3" t="n">
        <v>1</v>
      </c>
      <c r="I102" s="3" t="inlineStr">
        <is>
          <t>COMPRAR</t>
        </is>
      </c>
      <c r="J102" s="7" t="inlineStr">
        <is>
          <t>LOBATOS - Lobatolimpiadas (S-25/07 tarde 2): «Cola de ratón x2»
RUTAS PANDORA - Miss y Mister (llaveros) (X-29/07 tarde): «Cola de ratón que pase por pernos de argolla»</t>
        </is>
      </c>
      <c r="K102" s="8" t="inlineStr"/>
      <c r="L102" s="8" t="inlineStr"/>
    </row>
    <row r="103">
      <c r="A103" s="9" t="inlineStr">
        <is>
          <t>Cola para madera</t>
        </is>
      </c>
      <c r="B103" s="10" t="inlineStr">
        <is>
          <t>Construccion/herramientas</t>
        </is>
      </c>
      <c r="C103" s="11">
        <f>SUM(D103:H103)</f>
        <v/>
      </c>
      <c r="D103" s="10" t="n">
        <v>0</v>
      </c>
      <c r="E103" s="10" t="n">
        <v>3</v>
      </c>
      <c r="F103" s="10" t="n">
        <v>0</v>
      </c>
      <c r="G103" s="10" t="n">
        <v>0</v>
      </c>
      <c r="H103" s="10" t="n">
        <v>0</v>
      </c>
      <c r="I103" s="10" t="inlineStr">
        <is>
          <t>COMPRAR</t>
        </is>
      </c>
      <c r="J103" s="12" t="inlineStr">
        <is>
          <t>LOBATOS - Hotel de insectos (M-28/07 mañana): «Cola para madera 2 botes»
LOBATOS - Tipi indio - Miss y Mister (X-29/07 tarde): «Cola»</t>
        </is>
      </c>
      <c r="K103" s="13" t="inlineStr"/>
      <c r="L103" s="13" t="inlineStr"/>
    </row>
    <row r="104">
      <c r="A104" s="2" t="inlineStr">
        <is>
          <t>Conos deportivos / Conos chinos</t>
        </is>
      </c>
      <c r="B104" s="3" t="inlineStr">
        <is>
          <t>Juegos/deporte</t>
        </is>
      </c>
      <c r="C104" s="6">
        <f>SUM(D104:H104)</f>
        <v/>
      </c>
      <c r="D104" s="3" t="n">
        <v>0</v>
      </c>
      <c r="E104" s="3" t="n">
        <v>13</v>
      </c>
      <c r="F104" s="3" t="n">
        <v>6</v>
      </c>
      <c r="G104" s="3" t="n">
        <v>0</v>
      </c>
      <c r="H104" s="3" t="n">
        <v>1</v>
      </c>
      <c r="I104" s="3" t="inlineStr">
        <is>
          <t>YA HAY (bases) - revisar</t>
        </is>
      </c>
      <c r="J104" s="7" t="inlineStr">
        <is>
          <t>LOBATOS - Juegos (J-16/07 tarde 2): «Conos chinos»
LOBATOS - De aventura en la India (V-17/07 tarde 2): «Conos chinos»
LOBATOS - Actividad lobatos (Clan Ícaro - Charlie y David) (J-23/07 tarde 2): «Botellas/conos/cosas que se caigan»
LOBATOS - Gymkana de agua (V-24/07 mañana): «Conos»
LOBATOS - Sport &amp; Scouts (con Exploradores) (V-24/07 tarde 2): «6 conos»
LOBATOS - Lobatolimpiadas (S-25/07 tarde 2): «Conos chinos»
LOBATOS - Olimpiadas tarde + vivacs (M-28/07 tarde-noche): «Conos»
LOBATOS - GRUPAL: Barracas - El Gran Bazar (D-26/07 tarde): «Aro y cono»
EXPLORADORES - Sport &amp; Scouts (con Lobatos) (V-24/07 tarde 2): «6 conos»
RUTAS ICARO - Actividad para Lobatos (Charlie y David) (J-23/07): «Botellas/conos»</t>
        </is>
      </c>
      <c r="K104" s="8" t="inlineStr"/>
      <c r="L104" s="8" t="inlineStr"/>
    </row>
    <row r="105">
      <c r="A105" s="9" t="inlineStr">
        <is>
          <t>Corchera</t>
        </is>
      </c>
      <c r="B105" s="10" t="inlineStr">
        <is>
          <t>Otros</t>
        </is>
      </c>
      <c r="C105" s="11">
        <f>SUM(D105:H105)</f>
        <v/>
      </c>
      <c r="D105" s="10" t="n">
        <v>0</v>
      </c>
      <c r="E105" s="10" t="n">
        <v>0</v>
      </c>
      <c r="F105" s="10" t="n">
        <v>2</v>
      </c>
      <c r="G105" s="10" t="n">
        <v>0</v>
      </c>
      <c r="H105" s="10" t="n">
        <v>0</v>
      </c>
      <c r="I105" s="10" t="inlineStr">
        <is>
          <t>YA HAY (bases) - revisar</t>
        </is>
      </c>
      <c r="J105" s="12" t="inlineStr">
        <is>
          <t>EXPLORADORES - Inauguración de la FELSA (V-17/07 tarde 2): «Corchera»
EXPLORADORES - FELSA (V-24/07 tarde 1): «Corchera»</t>
        </is>
      </c>
      <c r="K105" s="13" t="inlineStr"/>
      <c r="L105" s="13" t="inlineStr"/>
    </row>
    <row r="106">
      <c r="A106" s="2" t="inlineStr">
        <is>
          <t>Cordino</t>
        </is>
      </c>
      <c r="B106" s="3" t="inlineStr">
        <is>
          <t>Papeleria/manualidades</t>
        </is>
      </c>
      <c r="C106" s="6">
        <f>SUM(D106:H106)</f>
        <v/>
      </c>
      <c r="D106" s="3">
        <f>CONFIG!$B$2*1.5</f>
        <v/>
      </c>
      <c r="E106" s="3" t="n">
        <v>0</v>
      </c>
      <c r="F106" s="3">
        <f>CONFIG!$B$4*1.5</f>
        <v/>
      </c>
      <c r="G106" s="3" t="n">
        <v>1</v>
      </c>
      <c r="H106" s="3" t="n">
        <v>2</v>
      </c>
      <c r="I106" s="3" t="inlineStr">
        <is>
          <t>COMPRAR</t>
        </is>
      </c>
      <c r="J106" s="7" t="inlineStr">
        <is>
          <t>EXPLORADORES - Miss y Mister: sacos de especias (M-29/07 tarde 1): «40cm de cordino por niño»
EXPLORADORES - Evaluación (cuentas) (M-29/07 tarde 2): «60cm de cordino por niño (oscuro mejor)»
PIONEROS - Pulseras (L-20/07 noche): «Cordino y cuerda para pulseras y trenzas de pelo»
RUTAS ICARO - Construcciones (J-16/07): «Cordino para bandera»
RUTAS ICARO - Volantes (x3 días) (D-19 a M-21/07): «Cordino»</t>
        </is>
      </c>
      <c r="K106" s="8" t="inlineStr"/>
      <c r="L106" s="8" t="inlineStr"/>
    </row>
    <row r="107">
      <c r="A107" s="9" t="inlineStr">
        <is>
          <t>Crema de protección solar / Aftersun</t>
        </is>
      </c>
      <c r="B107" s="10" t="inlineStr">
        <is>
          <t>Higiene/limpieza</t>
        </is>
      </c>
      <c r="C107" s="11">
        <f>SUM(D107:H107)</f>
        <v/>
      </c>
      <c r="D107" s="10" t="n">
        <v>1</v>
      </c>
      <c r="E107" s="10" t="n">
        <v>4</v>
      </c>
      <c r="F107" s="10" t="n">
        <v>0</v>
      </c>
      <c r="G107" s="10" t="n">
        <v>1</v>
      </c>
      <c r="H107" s="10" t="n">
        <v>0</v>
      </c>
      <c r="I107" s="10" t="inlineStr">
        <is>
          <t>LO TRAE EL NINO</t>
        </is>
      </c>
      <c r="J107" s="12" t="inlineStr">
        <is>
          <t>CASTORES - Acampada volante (x3 días) (D-19 a M-21/07): «Crema solar»
LOBATOS - Ruta volante (x3 días) (D-19 a M-21/07): «Crema solar»
LOBATOS - Taller de relajación (M-21/07 tarde 2): «Crema hidratante»
LOBATOS - Voluntariado conjunto Lobatos-Pioneros (J-23/07 mañana): «Protector solar»
LOBATOS - Piscina pueblo (con Pioneros) (J-23/07 día): «Protector solar»
PIONEROS - Relax (M-21/07 tarde 2): «Cremita aftersun»</t>
        </is>
      </c>
      <c r="K107" s="13" t="inlineStr"/>
      <c r="L107" s="13" t="inlineStr"/>
    </row>
    <row r="108">
      <c r="A108" s="2" t="inlineStr">
        <is>
          <t>Cubitera x2</t>
        </is>
      </c>
      <c r="B108" s="3" t="inlineStr">
        <is>
          <t>Otros</t>
        </is>
      </c>
      <c r="C108" s="6">
        <f>SUM(D108:H108)</f>
        <v/>
      </c>
      <c r="D108" s="3" t="n">
        <v>0</v>
      </c>
      <c r="E108" s="3" t="n">
        <v>0</v>
      </c>
      <c r="F108" s="3" t="n">
        <v>2</v>
      </c>
      <c r="G108" s="3" t="n">
        <v>0</v>
      </c>
      <c r="H108" s="3" t="n">
        <v>0</v>
      </c>
      <c r="I108" s="3" t="inlineStr">
        <is>
          <t>YA HAY (bases) - revisar</t>
        </is>
      </c>
      <c r="J108" s="7" t="inlineStr">
        <is>
          <t>EXPLORADORES - Scape room (S-25/07 tarde 1): «Cubitera x2»</t>
        </is>
      </c>
      <c r="K108" s="8" t="inlineStr"/>
      <c r="L108" s="8" t="inlineStr"/>
    </row>
    <row r="109">
      <c r="A109" s="9" t="inlineStr">
        <is>
          <t>Cubo grande de colores (barreño)</t>
        </is>
      </c>
      <c r="B109" s="10" t="inlineStr">
        <is>
          <t>Otros</t>
        </is>
      </c>
      <c r="C109" s="11">
        <f>SUM(D109:H109)</f>
        <v/>
      </c>
      <c r="D109" s="10" t="n">
        <v>0</v>
      </c>
      <c r="E109" s="10" t="n">
        <v>0</v>
      </c>
      <c r="F109" s="10" t="n">
        <v>0</v>
      </c>
      <c r="G109" s="10" t="n">
        <v>1</v>
      </c>
      <c r="H109" s="10" t="n">
        <v>0</v>
      </c>
      <c r="I109" s="10" t="inlineStr">
        <is>
          <t>YA HAY (bases) - revisar</t>
        </is>
      </c>
      <c r="J109" s="12" t="inlineStr">
        <is>
          <t>PIONEROS - Juegos de agua (J-23/07 tarde 1): «Cubo grande de colores (barreño)»</t>
        </is>
      </c>
      <c r="K109" s="13" t="inlineStr"/>
      <c r="L109" s="13" t="inlineStr"/>
    </row>
    <row r="110">
      <c r="A110" s="2" t="inlineStr">
        <is>
          <t>Cubos de agua 6</t>
        </is>
      </c>
      <c r="B110" s="3" t="inlineStr">
        <is>
          <t>Otros</t>
        </is>
      </c>
      <c r="C110" s="6">
        <f>SUM(D110:H110)</f>
        <v/>
      </c>
      <c r="D110" s="3" t="n">
        <v>0</v>
      </c>
      <c r="E110" s="3" t="n">
        <v>1</v>
      </c>
      <c r="F110" s="3" t="n">
        <v>0</v>
      </c>
      <c r="G110" s="3" t="n">
        <v>0</v>
      </c>
      <c r="H110" s="3" t="n">
        <v>0</v>
      </c>
      <c r="I110" s="3" t="inlineStr">
        <is>
          <t>YA HAY (bases) - revisar</t>
        </is>
      </c>
      <c r="J110" s="7" t="inlineStr">
        <is>
          <t>LOBATOS - Gymkana de agua (V-24/07 mañana): «Cubos de agua 6»</t>
        </is>
      </c>
      <c r="K110" s="8" t="inlineStr"/>
      <c r="L110" s="8" t="inlineStr"/>
    </row>
    <row r="111">
      <c r="A111" s="9" t="inlineStr">
        <is>
          <t>Cubos de plástico</t>
        </is>
      </c>
      <c r="B111" s="10" t="inlineStr">
        <is>
          <t>Otros</t>
        </is>
      </c>
      <c r="C111" s="11">
        <f>SUM(D111:H111)</f>
        <v/>
      </c>
      <c r="D111" s="10" t="n">
        <v>0</v>
      </c>
      <c r="E111" s="10" t="n">
        <v>1</v>
      </c>
      <c r="F111" s="10" t="n">
        <v>0</v>
      </c>
      <c r="G111" s="10" t="n">
        <v>0</v>
      </c>
      <c r="H111" s="10" t="n">
        <v>0</v>
      </c>
      <c r="I111" s="10" t="inlineStr">
        <is>
          <t>YA HAY (bases) - revisar</t>
        </is>
      </c>
      <c r="J111" s="12" t="inlineStr">
        <is>
          <t>LOBATOS - GRUPAL: Gran Juego (S-18/07 mañana): «Cubos de plástico»</t>
        </is>
      </c>
      <c r="K111" s="13" t="inlineStr"/>
      <c r="L111" s="13" t="inlineStr"/>
    </row>
    <row r="112">
      <c r="A112" s="2" t="inlineStr">
        <is>
          <t>Cuentas amarillas, verdes y rojas</t>
        </is>
      </c>
      <c r="B112" s="3" t="inlineStr">
        <is>
          <t>Papeleria/manualidades</t>
        </is>
      </c>
      <c r="C112" s="6">
        <f>SUM(D112:H112)</f>
        <v/>
      </c>
      <c r="D112" s="3" t="n">
        <v>0</v>
      </c>
      <c r="E112" s="3" t="n">
        <v>0</v>
      </c>
      <c r="F112" s="3">
        <f>CONFIG!$B$4*30</f>
        <v/>
      </c>
      <c r="G112" s="3" t="n">
        <v>0</v>
      </c>
      <c r="H112" s="3" t="n">
        <v>0</v>
      </c>
      <c r="I112" s="3" t="inlineStr">
        <is>
          <t>COMPRAR</t>
        </is>
      </c>
      <c r="J112" s="7" t="inlineStr">
        <is>
          <t>EXPLORADORES - Evaluación (cuentas) (M-29/07 tarde 2): «Cuentas amarillas, verdes y rojas (~30 por niño, más verdes)»</t>
        </is>
      </c>
      <c r="K112" s="8" t="inlineStr"/>
      <c r="L112" s="8" t="inlineStr"/>
    </row>
    <row r="113">
      <c r="A113" s="9" t="inlineStr">
        <is>
          <t>Cuerda (gorda mejor) y una rueda/algo que pese</t>
        </is>
      </c>
      <c r="B113" s="10" t="inlineStr">
        <is>
          <t>Otros</t>
        </is>
      </c>
      <c r="C113" s="11">
        <f>SUM(D113:H113)</f>
        <v/>
      </c>
      <c r="D113" s="10" t="n">
        <v>0</v>
      </c>
      <c r="E113" s="10" t="n">
        <v>1</v>
      </c>
      <c r="F113" s="10" t="n">
        <v>0</v>
      </c>
      <c r="G113" s="10" t="n">
        <v>0</v>
      </c>
      <c r="H113" s="10" t="n">
        <v>0</v>
      </c>
      <c r="I113" s="10" t="inlineStr">
        <is>
          <t>YA HAY (bases) - revisar</t>
        </is>
      </c>
      <c r="J113" s="12" t="inlineStr">
        <is>
          <t>LOBATOS - Actividad lobatos (Clan Ícaro - Charlie y David) (J-23/07 tarde 2): «Cuerda (gorda mejor) y una rueda/algo que pese»</t>
        </is>
      </c>
      <c r="K113" s="13" t="inlineStr"/>
      <c r="L113" s="13" t="inlineStr"/>
    </row>
    <row r="114">
      <c r="A114" s="2" t="inlineStr">
        <is>
          <t>Cuerda de pulsera de encoger y estirar negra</t>
        </is>
      </c>
      <c r="B114" s="3" t="inlineStr">
        <is>
          <t>Otros</t>
        </is>
      </c>
      <c r="C114" s="6">
        <f>SUM(D114:H114)</f>
        <v/>
      </c>
      <c r="D114" s="3" t="n">
        <v>0</v>
      </c>
      <c r="E114" s="3" t="n">
        <v>1</v>
      </c>
      <c r="F114" s="3" t="n">
        <v>0</v>
      </c>
      <c r="G114" s="3" t="n">
        <v>0</v>
      </c>
      <c r="H114" s="3" t="n">
        <v>0</v>
      </c>
      <c r="I114" s="3" t="inlineStr">
        <is>
          <t>YA HAY (bases) - revisar</t>
        </is>
      </c>
      <c r="J114" s="7" t="inlineStr">
        <is>
          <t>LOBATOS - El amuleto del elefante sagrado (orientación) (X-22/07 tarde): «Cuerda de pulsera de encoger y estirar negra»</t>
        </is>
      </c>
      <c r="K114" s="8" t="inlineStr"/>
      <c r="L114" s="8" t="inlineStr"/>
    </row>
    <row r="115">
      <c r="A115" s="9" t="inlineStr">
        <is>
          <t>Cuerda gorda (sogatira)</t>
        </is>
      </c>
      <c r="B115" s="10" t="inlineStr">
        <is>
          <t>Otros</t>
        </is>
      </c>
      <c r="C115" s="11">
        <f>SUM(D115:H115)</f>
        <v/>
      </c>
      <c r="D115" s="10" t="n">
        <v>0</v>
      </c>
      <c r="E115" s="10" t="n">
        <v>0</v>
      </c>
      <c r="F115" s="10" t="n">
        <v>0</v>
      </c>
      <c r="G115" s="10" t="n">
        <v>1</v>
      </c>
      <c r="H115" s="10" t="n">
        <v>0</v>
      </c>
      <c r="I115" s="10" t="inlineStr">
        <is>
          <t>YA HAY (bases) - revisar</t>
        </is>
      </c>
      <c r="J115" s="12" t="inlineStr">
        <is>
          <t>PIONEROS - Gymkhana deportes (V-17/07 tarde): «Cuerda gorda (sogatira)»</t>
        </is>
      </c>
      <c r="K115" s="13" t="inlineStr"/>
      <c r="L115" s="13" t="inlineStr"/>
    </row>
    <row r="116">
      <c r="A116" s="2" t="inlineStr">
        <is>
          <t>Cuerda gorda y una rueda/algo que pese</t>
        </is>
      </c>
      <c r="B116" s="3" t="inlineStr">
        <is>
          <t>Otros</t>
        </is>
      </c>
      <c r="C116" s="6">
        <f>SUM(D116:H116)</f>
        <v/>
      </c>
      <c r="D116" s="3" t="n">
        <v>0</v>
      </c>
      <c r="E116" s="3" t="n">
        <v>0</v>
      </c>
      <c r="F116" s="3" t="n">
        <v>0</v>
      </c>
      <c r="G116" s="3" t="n">
        <v>0</v>
      </c>
      <c r="H116" s="3" t="n">
        <v>1</v>
      </c>
      <c r="I116" s="3" t="inlineStr">
        <is>
          <t>YA HAY (bases) - revisar</t>
        </is>
      </c>
      <c r="J116" s="7" t="inlineStr">
        <is>
          <t>RUTAS ICARO - Actividad para Lobatos (Charlie y David) (J-23/07): «Cuerda gorda y una rueda/algo que pese»</t>
        </is>
      </c>
      <c r="K116" s="8" t="inlineStr"/>
      <c r="L116" s="8" t="inlineStr"/>
    </row>
    <row r="117">
      <c r="A117" s="9" t="inlineStr">
        <is>
          <t>Cuerda gruesa (ni soga ni pita)</t>
        </is>
      </c>
      <c r="B117" s="10" t="inlineStr">
        <is>
          <t>Otros</t>
        </is>
      </c>
      <c r="C117" s="11">
        <f>SUM(D117:H117)</f>
        <v/>
      </c>
      <c r="D117" s="10" t="n">
        <v>0</v>
      </c>
      <c r="E117" s="10" t="n">
        <v>0</v>
      </c>
      <c r="F117" s="10" t="n">
        <v>1</v>
      </c>
      <c r="G117" s="10" t="n">
        <v>0</v>
      </c>
      <c r="H117" s="10" t="n">
        <v>0</v>
      </c>
      <c r="I117" s="10" t="inlineStr">
        <is>
          <t>YA HAY (bases) - revisar</t>
        </is>
      </c>
      <c r="J117" s="12" t="inlineStr">
        <is>
          <t>EXPLORADORES - Construcciones adicionales (V-17/07 tarde 1): «Cuerda gruesa (ni soga ni pita)»</t>
        </is>
      </c>
      <c r="K117" s="13" t="inlineStr"/>
      <c r="L117" s="13" t="inlineStr"/>
    </row>
    <row r="118">
      <c r="A118" s="2" t="inlineStr">
        <is>
          <t>Cuerda pita</t>
        </is>
      </c>
      <c r="B118" s="3" t="inlineStr">
        <is>
          <t>Construccion/herramientas</t>
        </is>
      </c>
      <c r="C118" s="6">
        <f>SUM(D118:H118)</f>
        <v/>
      </c>
      <c r="D118" s="3" t="n">
        <v>5</v>
      </c>
      <c r="E118" s="3" t="n">
        <v>9</v>
      </c>
      <c r="F118" s="3" t="n">
        <v>53</v>
      </c>
      <c r="G118" s="3" t="n">
        <v>100</v>
      </c>
      <c r="H118" s="3" t="n">
        <v>5</v>
      </c>
      <c r="I118" s="3" t="inlineStr">
        <is>
          <t>COMPRAR</t>
        </is>
      </c>
      <c r="J118" s="7" t="inlineStr">
        <is>
          <t>CASTORES - Montaje de tiendas (J-16/07 mañana): «Cuerda pita- 2 rollos»
CASTORES - Construcciones zona común (V-17/07 mañana): «Cuerda pita- 2 rollos»
CASTORES - Taller de arcilla (S-25/07 tarde 1): «Cuerda pita (por si alguno hace collar)»
LOBATOS - Construcción de parcela (J-16/07 tarde 1): «Cuerda pita»
LOBATOS - Territorios (V-17/07 tarde 1): «Cuerda pita (1m)»
LOBATOS - Taller de estrellas (X-22/07 noche): «Cuerda pita»
LOBATOS - Clan Ícaro: brújula casera y potabilizar (V-24/07 tarde 1): «Cuerda»
LOBATOS - Sport &amp; Scouts (con Exploradores) (V-24/07 tarde 2): «Cuerda pita y lona»
LOBATOS - Hotel de insectos (M-28/07 mañana): «Cuerda pita (2 rollos)»
LOBATOS - Olimpiadas tarde + vivacs (M-28/07 tarde-noche): «Cuerda»
LOBATOS - Olimpiadas tarde + vivacs (M-28/07 tarde-noche): «Cuerda pita»
EXPLORADORES - Actividad maristas (L-20/07 tarde): «Cuerda pita (unos metros)»
EXPLORADORES - Sport &amp; Scouts (con Lobatos) (V-24/07 tarde 2): «Cuerda pita y lona»
EXPLORADORES - Scape room (S-25/07 tarde 1): «Cuerda»
EXPLORADORES - Preparación de raids (D-26/07 noche): «Cuerda pita x50 metros»
PIONEROS - Construcciones (J-16 y V-17/07): «100m cuerda pita»
RUTAS PANDORA - PPV (V-17/07): «Cuerda»
RUTAS ICARO - Construcciones (J-16/07): «Cuerda pita»
RUTAS ICARO - Actividad moverse (Charlie) (S-18/07): «Cuerda»
RUTAS ICARO - Técnicas scouts (brújula casera, potabilizar) (V-24/07): «Cuerda»
RUTAS ICARO - OLIMPIADAS (grupal) (X-29/07 mañana): «Cuerda pita»</t>
        </is>
      </c>
      <c r="K118" s="8" t="inlineStr"/>
      <c r="L118" s="8" t="inlineStr"/>
    </row>
    <row r="119">
      <c r="A119" s="9" t="inlineStr">
        <is>
          <t>Cuerdas largas (2-3)</t>
        </is>
      </c>
      <c r="B119" s="10" t="inlineStr">
        <is>
          <t>Otros</t>
        </is>
      </c>
      <c r="C119" s="11">
        <f>SUM(D119:H119)</f>
        <v/>
      </c>
      <c r="D119" s="10" t="n">
        <v>0</v>
      </c>
      <c r="E119" s="10" t="n">
        <v>1</v>
      </c>
      <c r="F119" s="10" t="n">
        <v>0</v>
      </c>
      <c r="G119" s="10" t="n">
        <v>0</v>
      </c>
      <c r="H119" s="10" t="n">
        <v>0</v>
      </c>
      <c r="I119" s="10" t="inlineStr">
        <is>
          <t>YA HAY (bases) - revisar</t>
        </is>
      </c>
      <c r="J119" s="12" t="inlineStr">
        <is>
          <t>LOBATOS - GRUPAL: Día guarro (X-22/07 día): «Cuerdas largas (2-3)»</t>
        </is>
      </c>
      <c r="K119" s="13" t="inlineStr"/>
      <c r="L119" s="13" t="inlineStr"/>
    </row>
    <row r="120">
      <c r="A120" s="2" t="inlineStr">
        <is>
          <t>Cámara de fotos</t>
        </is>
      </c>
      <c r="B120" s="3" t="inlineStr">
        <is>
          <t>Otros</t>
        </is>
      </c>
      <c r="C120" s="6">
        <f>SUM(D120:H120)</f>
        <v/>
      </c>
      <c r="D120" s="3" t="n">
        <v>0</v>
      </c>
      <c r="E120" s="3" t="n">
        <v>0</v>
      </c>
      <c r="F120" s="3" t="n">
        <v>0</v>
      </c>
      <c r="G120" s="3" t="n">
        <v>1</v>
      </c>
      <c r="H120" s="3" t="n">
        <v>0</v>
      </c>
      <c r="I120" s="3" t="inlineStr">
        <is>
          <t>YA HAY (bases) - revisar</t>
        </is>
      </c>
      <c r="J120" s="7" t="inlineStr">
        <is>
          <t>PIONEROS - Carrera de orientación (X-22/07 tarde): «Cámara de fotos»</t>
        </is>
      </c>
      <c r="K120" s="8" t="inlineStr"/>
      <c r="L120" s="8" t="inlineStr"/>
    </row>
    <row r="121">
      <c r="A121" s="9" t="inlineStr">
        <is>
          <t>Dado gigante</t>
        </is>
      </c>
      <c r="B121" s="10" t="inlineStr">
        <is>
          <t>Otros</t>
        </is>
      </c>
      <c r="C121" s="11">
        <f>SUM(D121:H121)</f>
        <v/>
      </c>
      <c r="D121" s="10" t="n">
        <v>0</v>
      </c>
      <c r="E121" s="10" t="n">
        <v>1</v>
      </c>
      <c r="F121" s="10" t="n">
        <v>0</v>
      </c>
      <c r="G121" s="10" t="n">
        <v>0</v>
      </c>
      <c r="H121" s="10" t="n">
        <v>0</v>
      </c>
      <c r="I121" s="10" t="inlineStr">
        <is>
          <t>YA HAY (bases) - revisar</t>
        </is>
      </c>
      <c r="J121" s="12" t="inlineStr">
        <is>
          <t>LOBATOS - GRUPAL: Barracas - El Gran Bazar (D-26/07 tarde): «Dado gigante»</t>
        </is>
      </c>
      <c r="K121" s="13" t="inlineStr"/>
      <c r="L121" s="13" t="inlineStr"/>
    </row>
    <row r="122">
      <c r="A122" s="2" t="inlineStr">
        <is>
          <t>Dardos de gomaespuma (unidad)</t>
        </is>
      </c>
      <c r="B122" s="3" t="inlineStr">
        <is>
          <t>Otros</t>
        </is>
      </c>
      <c r="C122" s="6">
        <f>SUM(D122:H122)</f>
        <v/>
      </c>
      <c r="D122" s="3" t="n">
        <v>0</v>
      </c>
      <c r="E122" s="3" t="n">
        <v>0</v>
      </c>
      <c r="F122" s="3" t="n">
        <v>1</v>
      </c>
      <c r="G122" s="3" t="n">
        <v>0</v>
      </c>
      <c r="H122" s="3" t="n">
        <v>0</v>
      </c>
      <c r="I122" s="3" t="inlineStr">
        <is>
          <t>YA HAY (bases) - revisar</t>
        </is>
      </c>
      <c r="J122" s="7" t="inlineStr">
        <is>
          <t>EXPLORADORES - Juegos (Tropiolimpiadas - cerbatanas) (J-16/07 tarde): «Dardos de gomaespuma (unidad)»</t>
        </is>
      </c>
      <c r="K122" s="8" t="inlineStr"/>
      <c r="L122" s="8" t="inlineStr"/>
    </row>
    <row r="123">
      <c r="A123" s="9" t="inlineStr">
        <is>
          <t>Dobles</t>
        </is>
      </c>
      <c r="B123" s="10" t="inlineStr">
        <is>
          <t>Otros</t>
        </is>
      </c>
      <c r="C123" s="11">
        <f>SUM(D123:H123)</f>
        <v/>
      </c>
      <c r="D123" s="10" t="n">
        <v>0</v>
      </c>
      <c r="E123" s="10" t="n">
        <v>0</v>
      </c>
      <c r="F123" s="10" t="n">
        <v>1</v>
      </c>
      <c r="G123" s="10" t="n">
        <v>0</v>
      </c>
      <c r="H123" s="10" t="n">
        <v>0</v>
      </c>
      <c r="I123" s="10" t="inlineStr">
        <is>
          <t>YA HAY (bases) - revisar</t>
        </is>
      </c>
      <c r="J123" s="12" t="inlineStr">
        <is>
          <t>EXPLORADORES - Jugger (X-22/07 tarde 2): «Dobles»</t>
        </is>
      </c>
      <c r="K123" s="13" t="inlineStr"/>
      <c r="L123" s="13" t="inlineStr"/>
    </row>
    <row r="124">
      <c r="A124" s="2" t="inlineStr">
        <is>
          <t>Dos fotos (a mayores, no de los niños)</t>
        </is>
      </c>
      <c r="B124" s="3" t="inlineStr">
        <is>
          <t>Otros</t>
        </is>
      </c>
      <c r="C124" s="6">
        <f>SUM(D124:H124)</f>
        <v/>
      </c>
      <c r="D124" s="3" t="n">
        <v>0</v>
      </c>
      <c r="E124" s="3" t="n">
        <v>1</v>
      </c>
      <c r="F124" s="3" t="n">
        <v>0</v>
      </c>
      <c r="G124" s="3" t="n">
        <v>0</v>
      </c>
      <c r="H124" s="3" t="n">
        <v>0</v>
      </c>
      <c r="I124" s="3" t="inlineStr">
        <is>
          <t>YA HAY (bases) - revisar</t>
        </is>
      </c>
      <c r="J124" s="7" t="inlineStr">
        <is>
          <t>LOBATOS - Territorios (V-17/07 tarde 1): «Dos fotos (a mayores, no de los niños)»</t>
        </is>
      </c>
      <c r="K124" s="8" t="inlineStr"/>
      <c r="L124" s="8" t="inlineStr"/>
    </row>
    <row r="125">
      <c r="A125" s="9" t="inlineStr">
        <is>
          <t>Dos pañoletas</t>
        </is>
      </c>
      <c r="B125" s="10" t="inlineStr">
        <is>
          <t>Otros</t>
        </is>
      </c>
      <c r="C125" s="11">
        <f>SUM(D125:H125)</f>
        <v/>
      </c>
      <c r="D125" s="10" t="n">
        <v>0</v>
      </c>
      <c r="E125" s="10" t="n">
        <v>0</v>
      </c>
      <c r="F125" s="10" t="n">
        <v>0</v>
      </c>
      <c r="G125" s="10" t="n">
        <v>0</v>
      </c>
      <c r="H125" s="10" t="n">
        <v>1</v>
      </c>
      <c r="I125" s="10" t="inlineStr">
        <is>
          <t>YA HAY (bases) - revisar</t>
        </is>
      </c>
      <c r="J125" s="12" t="inlineStr">
        <is>
          <t>RUTAS ICARO - OLIMPIADAS (grupal) (X-29/07 mañana): «Dos pañoletas»</t>
        </is>
      </c>
      <c r="K125" s="13" t="inlineStr"/>
      <c r="L125" s="13" t="inlineStr"/>
    </row>
    <row r="126">
      <c r="A126" s="2" t="inlineStr">
        <is>
          <t>Elementos de la naturaleza</t>
        </is>
      </c>
      <c r="B126" s="3" t="inlineStr">
        <is>
          <t>Otros</t>
        </is>
      </c>
      <c r="C126" s="6">
        <f>SUM(D126:H126)</f>
        <v/>
      </c>
      <c r="D126" s="3" t="n">
        <v>0</v>
      </c>
      <c r="E126" s="3" t="n">
        <v>1</v>
      </c>
      <c r="F126" s="3" t="n">
        <v>0</v>
      </c>
      <c r="G126" s="3" t="n">
        <v>0</v>
      </c>
      <c r="H126" s="3" t="n">
        <v>0</v>
      </c>
      <c r="I126" s="3" t="inlineStr">
        <is>
          <t>YA HAY (bases) - revisar</t>
        </is>
      </c>
      <c r="J126" s="7" t="inlineStr">
        <is>
          <t>LOBATOS - Construcción de parcela (J-16/07 tarde 1): «Elementos de la naturaleza»</t>
        </is>
      </c>
      <c r="K126" s="8" t="inlineStr"/>
      <c r="L126" s="8" t="inlineStr"/>
    </row>
    <row r="127">
      <c r="A127" s="9" t="inlineStr">
        <is>
          <t>Equipo de campamento (Tiendas, lonas, piquetas, rafias, picas)</t>
        </is>
      </c>
      <c r="B127" s="10" t="inlineStr">
        <is>
          <t>Equipo campamento</t>
        </is>
      </c>
      <c r="C127" s="11">
        <f>SUM(D127:H127)</f>
        <v/>
      </c>
      <c r="D127" s="10" t="n">
        <v>4</v>
      </c>
      <c r="E127" s="10" t="n">
        <v>0</v>
      </c>
      <c r="F127" s="10" t="n">
        <v>7</v>
      </c>
      <c r="G127" s="10" t="n">
        <v>1</v>
      </c>
      <c r="H127" s="10" t="n">
        <v>1</v>
      </c>
      <c r="I127" s="10" t="inlineStr">
        <is>
          <t>YA HAY (bases) - revisar</t>
        </is>
      </c>
      <c r="J127" s="12" t="inlineStr">
        <is>
          <t>CASTORES - Montaje de tiendas (J-16/07 mañana): «Tienda de campaña x2»
CASTORES - Montaje de tiendas (J-16/07 mañana): «Listones de los viejos para estructuras y mástil»
CASTORES - Construcciones zona común (V-17/07 mañana): «Listones de los viejos para estructuras y mástil»
EXPLORADORES - Construcciones rústicas (J-16/07 mañana+tarde): «Listón para mástil»
EXPLORADORES - Preparación de raids (D-26/07 noche): «Rafia x6»
PIONEROS - Preparación volantes (S-18/07 tarde 2): «Rafias»
RUTAS ICARO - Construcciones (J-16/07): «Mástil»</t>
        </is>
      </c>
      <c r="K127" s="13" t="inlineStr"/>
      <c r="L127" s="13" t="inlineStr"/>
    </row>
    <row r="128">
      <c r="A128" s="2" t="inlineStr">
        <is>
          <t>Equipo personal (mochila, saco, esterilla, toalla, etc.)</t>
        </is>
      </c>
      <c r="B128" s="3" t="inlineStr">
        <is>
          <t>Otros</t>
        </is>
      </c>
      <c r="C128" s="6">
        <f>SUM(D128:H128)</f>
        <v/>
      </c>
      <c r="D128" s="3" t="n">
        <v>7</v>
      </c>
      <c r="E128" s="3" t="n">
        <v>21</v>
      </c>
      <c r="F128" s="3" t="n">
        <v>4</v>
      </c>
      <c r="G128" s="3" t="n">
        <v>8</v>
      </c>
      <c r="H128" s="3" t="n">
        <v>4</v>
      </c>
      <c r="I128" s="3" t="inlineStr">
        <is>
          <t>LO TRAE EL NINO</t>
        </is>
      </c>
      <c r="J128" s="7" t="inlineStr">
        <is>
          <t>CASTORES - Hacer mochilas acampada volante (S-18/07 tarde 2): «Mochilas de cada castor»
CASTORES - Hacer mochilas acampada volante (S-18/07 tarde 2): «Ropa»
CASTORES - Acampada volante (x3 días) (D-19 a M-21/07): «Gorras y cantimploras»
CASTORES - Taller relajación/yoga (D-19/07 tarde): «Esterillas»
CASTORES - Caza Gamusino (M-21/07 noche): «Ropa oscura»
CASTORES - Hacer mochilas para día de padres (S-25/07 tarde 2): «Mochilas niños»
CASTORES - Hacer mochilas para día de padres (S-25/07 tarde 2): «Cajas de ropa»
LOBATOS - Ruta volante (x3 días) (D-19 a M-21/07): «Gorras y cantimploras»
LOBATOS - ILLRA (L-20/07 tarde): «Agua (cada uno su cantimplora)»
LOBATOS - Taller de relajación (M-21/07 tarde 2): «Esterillas de los niños»
LOBATOS - Taller de estrellas (X-22/07 noche): «Esterillas»
LOBATOS - Voluntariado conjunto Lobatos-Pioneros (J-23/07 mañana): «Gorra»
LOBATOS - Voluntariado conjunto Lobatos-Pioneros (J-23/07 mañana): «Mochila»
LOBATOS - Voluntariado conjunto Lobatos-Pioneros (J-23/07 mañana): «Ropa cómoda»
LOBATOS - Voluntariado conjunto Lobatos-Pioneros (J-23/07 mañana): «Calzado montaña»
LOBATOS - Piscina pueblo (con Pioneros) (J-23/07 día): «(Lo trae el niño) 2 bañadores»
LOBATOS - Piscina pueblo (con Pioneros) (J-23/07 día): «Toalla»
LOBATOS - Piscina pueblo (con Pioneros) (J-23/07 día): «Chanclas»
LOBATOS - Piscina pueblo (con Pioneros) (J-23/07 día): «Gorro de baño»
LOBATOS - Piscina pueblo (con Pioneros) (J-23/07 día): «Gafas de natación»
LOBATOS - Piscina pueblo (con Pioneros) (J-23/07 día): «Peine»
LOBATOS - Piscina pueblo (con Pioneros) (J-23/07 día): «Gorra»
LOBATOS - Piscina pueblo (con Pioneros) (J-23/07 día): «Gafas de sol»
LOBATOS - Sport &amp; Scouts (con Exploradores) (V-24/07 tarde 2): «2 toallas»
LOBATOS - Velada de humor (D-26/07 noche): «Saco con cosas para teatrillos (del campamento)»
LOBATOS - Olimpiadas tarde + vivacs (M-28/07 tarde-noche): «Saco y cuerda gorda»
LOBATOS - GRUPAL: Barracas - El Gran Bazar (D-26/07 tarde): «Saco de seda»
EXPLORADORES - Volante (x3 días) (D-19 a M-21/07): «Mochilas volante»
EXPLORADORES - Taller de relajación (D-19/07 tarde): «Esterilla»
EXPLORADORES - Sport &amp; Scouts (con Lobatos) (V-24/07 tarde 2): «2 toallas»
PIONEROS - Taller de estrellas (V-17/07 noche): «Aislantes (los suyos)»
PIONEROS - Volantes (x3 días) (D-19 a M-21/07): «Mochilas volante»
PIONEROS - Piscina pueblo Quintanar (M-21/07 tarde): «(Lo trae el niño) Toalla»
PIONEROS - Piscina pueblo Quintanar (M-21/07 tarde): «Bañador y chanclas»
PIONEROS - Piscina pueblo Quintanar (M-21/07 tarde): «Mochila pequeña»
PIONEROS - Relax (M-21/07 tarde 2): «Aislantes (los nuestros)»
PIONEROS - Juegos de agua (J-23/07 tarde 1): «Bañadores, chanclas y toalla (niños)»
PIONEROS - Raids (L-27 a M-28/07): «Mochilas raids»
RUTAS PANDORA - Estiramientos post-volante (X-22/07): «Esterillas»
RUTAS ICARO - PPV (Vali) (V-17/07): «Tarjetas mochila a color impresa (A5)»
RUTAS ICARO - Volantes (x3 días) (D-19 a M-21/07): «Mochilas volante»
RUTAS ICARO - OLIMPIADAS (grupal) (X-29/07 mañana): «Sacos para carrera de sacos»</t>
        </is>
      </c>
      <c r="K128" s="8" t="inlineStr"/>
      <c r="L128" s="8" t="inlineStr"/>
    </row>
    <row r="129">
      <c r="A129" s="9" t="inlineStr">
        <is>
          <t>Espaguetis</t>
        </is>
      </c>
      <c r="B129" s="10" t="inlineStr">
        <is>
          <t>Otros</t>
        </is>
      </c>
      <c r="C129" s="11">
        <f>SUM(D129:H129)</f>
        <v/>
      </c>
      <c r="D129" s="10" t="n">
        <v>0</v>
      </c>
      <c r="E129" s="10" t="n">
        <v>0</v>
      </c>
      <c r="F129" s="10" t="n">
        <v>1</v>
      </c>
      <c r="G129" s="10" t="n">
        <v>0</v>
      </c>
      <c r="H129" s="10" t="n">
        <v>0</v>
      </c>
      <c r="I129" s="10" t="inlineStr">
        <is>
          <t>YA HAY (bases) - revisar</t>
        </is>
      </c>
      <c r="J129" s="12" t="inlineStr">
        <is>
          <t>EXPLORADORES - Velada de terror (X-22/07 noche): «Espaguetis»</t>
        </is>
      </c>
      <c r="K129" s="13" t="inlineStr"/>
      <c r="L129" s="13" t="inlineStr"/>
    </row>
    <row r="130">
      <c r="A130" s="2" t="inlineStr">
        <is>
          <t>Esponjas (10-15)</t>
        </is>
      </c>
      <c r="B130" s="3" t="inlineStr">
        <is>
          <t>Otros</t>
        </is>
      </c>
      <c r="C130" s="6">
        <f>SUM(D130:H130)</f>
        <v/>
      </c>
      <c r="D130" s="3" t="n">
        <v>0</v>
      </c>
      <c r="E130" s="3" t="n">
        <v>1</v>
      </c>
      <c r="F130" s="3" t="n">
        <v>0</v>
      </c>
      <c r="G130" s="3" t="n">
        <v>0</v>
      </c>
      <c r="H130" s="3" t="n">
        <v>0</v>
      </c>
      <c r="I130" s="3" t="inlineStr">
        <is>
          <t>YA HAY (bases) - revisar</t>
        </is>
      </c>
      <c r="J130" s="7" t="inlineStr">
        <is>
          <t>LOBATOS - GRUPAL: Día guarro (X-22/07 día): «Esponjas (10-15)»</t>
        </is>
      </c>
      <c r="K130" s="8" t="inlineStr"/>
      <c r="L130" s="8" t="inlineStr"/>
    </row>
    <row r="131">
      <c r="A131" s="9" t="inlineStr">
        <is>
          <t>Esponjas x10</t>
        </is>
      </c>
      <c r="B131" s="10" t="inlineStr">
        <is>
          <t>Otros</t>
        </is>
      </c>
      <c r="C131" s="11">
        <f>SUM(D131:H131)</f>
        <v/>
      </c>
      <c r="D131" s="10" t="n">
        <v>0</v>
      </c>
      <c r="E131" s="10" t="n">
        <v>10</v>
      </c>
      <c r="F131" s="10" t="n">
        <v>0</v>
      </c>
      <c r="G131" s="10" t="n">
        <v>0</v>
      </c>
      <c r="H131" s="10" t="n">
        <v>0</v>
      </c>
      <c r="I131" s="10" t="inlineStr">
        <is>
          <t>YA HAY (bases) - revisar</t>
        </is>
      </c>
      <c r="J131" s="12" t="inlineStr">
        <is>
          <t>LOBATOS - Poza (L-27/07 mañana): «Esponjas x10»</t>
        </is>
      </c>
      <c r="K131" s="13" t="inlineStr"/>
      <c r="L131" s="13" t="inlineStr"/>
    </row>
    <row r="132">
      <c r="A132" s="2" t="inlineStr">
        <is>
          <t>Estructura para tendedero</t>
        </is>
      </c>
      <c r="B132" s="3" t="inlineStr">
        <is>
          <t>Otros</t>
        </is>
      </c>
      <c r="C132" s="6">
        <f>SUM(D132:H132)</f>
        <v/>
      </c>
      <c r="D132" s="3" t="n">
        <v>0</v>
      </c>
      <c r="E132" s="3" t="n">
        <v>0</v>
      </c>
      <c r="F132" s="3" t="n">
        <v>1</v>
      </c>
      <c r="G132" s="3" t="n">
        <v>0</v>
      </c>
      <c r="H132" s="3" t="n">
        <v>0</v>
      </c>
      <c r="I132" s="3" t="inlineStr">
        <is>
          <t>YA HAY (bases) - revisar</t>
        </is>
      </c>
      <c r="J132" s="7" t="inlineStr">
        <is>
          <t>EXPLORADORES - Construcciones rústicas (J-16/07 mañana+tarde): «Estructura para tendedero»</t>
        </is>
      </c>
      <c r="K132" s="8" t="inlineStr"/>
      <c r="L132" s="8" t="inlineStr"/>
    </row>
    <row r="133">
      <c r="A133" s="9" t="inlineStr">
        <is>
          <t>Falta confirmar si dejan todo o llevamos nosotros</t>
        </is>
      </c>
      <c r="B133" s="10" t="inlineStr">
        <is>
          <t>Otros</t>
        </is>
      </c>
      <c r="C133" s="11">
        <f>SUM(D133:H133)</f>
        <v/>
      </c>
      <c r="D133" s="10" t="n">
        <v>0</v>
      </c>
      <c r="E133" s="10" t="n">
        <v>0</v>
      </c>
      <c r="F133" s="10" t="n">
        <v>0</v>
      </c>
      <c r="G133" s="10" t="n">
        <v>0</v>
      </c>
      <c r="H133" s="10" t="n">
        <v>1</v>
      </c>
      <c r="I133" s="10" t="inlineStr">
        <is>
          <t>YA HAY (bases) - revisar</t>
        </is>
      </c>
      <c r="J133" s="12" t="inlineStr">
        <is>
          <t>RUTAS PANDORA - Voluntariado Neila (V-24/07): «Falta confirmar si dejan todo o llevamos nosotros»</t>
        </is>
      </c>
      <c r="K133" s="13" t="inlineStr"/>
      <c r="L133" s="13" t="inlineStr"/>
    </row>
    <row r="134">
      <c r="A134" s="2" t="inlineStr">
        <is>
          <t>Fieltro marrón oscuro x4 láminas A3 (bandas de flecos indias)</t>
        </is>
      </c>
      <c r="B134" s="3" t="inlineStr">
        <is>
          <t>Otros</t>
        </is>
      </c>
      <c r="C134" s="6">
        <f>SUM(D134:H134)</f>
        <v/>
      </c>
      <c r="D134" s="3" t="n">
        <v>0</v>
      </c>
      <c r="E134" s="3" t="n">
        <v>4</v>
      </c>
      <c r="F134" s="3" t="n">
        <v>0</v>
      </c>
      <c r="G134" s="3" t="n">
        <v>0</v>
      </c>
      <c r="H134" s="3" t="n">
        <v>0</v>
      </c>
      <c r="I134" s="3" t="inlineStr">
        <is>
          <t>YA HAY (bases) - revisar</t>
        </is>
      </c>
      <c r="J134" s="7" t="inlineStr">
        <is>
          <t>LOBATOS - Juegos India (V-17/07 mañana): «Fieltro marrón oscuro x4 láminas A3 (bandas de flecos indias)»</t>
        </is>
      </c>
      <c r="K134" s="8" t="inlineStr"/>
      <c r="L134" s="8" t="inlineStr"/>
    </row>
    <row r="135">
      <c r="A135" s="9" t="inlineStr">
        <is>
          <t>Folios</t>
        </is>
      </c>
      <c r="B135" s="10" t="inlineStr">
        <is>
          <t>Papeleria/manualidades</t>
        </is>
      </c>
      <c r="C135" s="11">
        <f>SUM(D135:H135)</f>
        <v/>
      </c>
      <c r="D135" s="10" t="n">
        <v>5</v>
      </c>
      <c r="E135" s="10" t="n">
        <v>10</v>
      </c>
      <c r="F135" s="10" t="n">
        <v>30</v>
      </c>
      <c r="G135" s="10" t="n">
        <v>5</v>
      </c>
      <c r="H135" s="10" t="n">
        <v>6</v>
      </c>
      <c r="I135" s="10" t="inlineStr">
        <is>
          <t>COMPRAR</t>
        </is>
      </c>
      <c r="J135" s="12" t="inlineStr">
        <is>
          <t>CASTORES - Gran Juego: El Taj perdido (con Lobatos) (S-18/07 tarde 1): «Folios»
CASTORES - Lluvia: Flipbook (D-26/07 (lluvia)): «Folios»
CASTORES - Cuento de imágenes (Bolsa de juegos): «Folios»
CASTORES - Taller de sobres y cartas (Bolsa de juegos): «Folios»
CASTORES - Dinámica abanico (Bolsa de juegos): «Folios»
LOBATOS - El Taj perdido (con Castores) (S-18/07 tarde 1): «Folios»
LOBATOS - ILLRA (L-20/07 tarde): «Folios»
LOBATOS - Teleclub (M-21/07 noche): «Folios»
LOBATOS - El amuleto del elefante sagrado (orientación) (X-22/07 tarde): «Folios»
LOBATOS - Velada de humor (D-26/07 noche): «Folios»
LOBATOS - Atrapasueños (L-27/07 tarde 1): «Folios de colores»
LOBATOS - Taller sexualidad: línea del tiempo (M-28/07 tarde 1): «Folios»
LOBATOS - Olimpiadas tarde + vivacs (M-28/07 tarde-noche): «Folios»
LOBATOS - Tipi indio - Miss y Mister (X-29/07 tarde): «Folios de colores»
LOBATOS - Evaluación (X-29/07 tarde 2): «Folios»
EXPLORADORES - Presentación profunda (V-17/07 mañana): «Folios y rotuladores»
EXPLORADORES - Velada de código morse (V-17/07 noche): «Folios (unos 4)»
EXPLORADORES - Actividad maristas (L-20/07 tarde): «Folios x5»
EXPLORADORES - Carrera de orientación nocturna (V-24/07 noche): «Folios»
EXPLORADORES - Scape room (S-25/07 tarde 1): «Folios»
EXPLORADORES - Complementaria scape room (S-25/07 tarde 1b): «Folios»
EXPLORADORES - Alimentación y buenos hábitos (S-25/07 tarde 2): «20 folios»
PIONEROS - Carrera de orientación (X-22/07 tarde): «Folios»
PIONEROS - Fe (V-24/07 tarde 2): «Folios de colores»
PIONEROS - Refugiados por un día (S-25/07 tarde 2): «2 folios de 2 colores diferentes (NO blancos)»
PIONEROS - Raids (L-27 a M-28/07): «Folios reflexiones»
RUTAS PANDORA - PPV (V-17/07): «Folios»
RUTAS PANDORA - Reflexión personal (Reserva): «Folios»
RUTAS ICARO - Taller Eva (V-17/07): «Folios»
RUTAS ICARO - Taller David (V-17/07): «Folios»
RUTAS ICARO - Taller feminismo (actividad país) (X-22/07 noche): «Folios»
RUTAS ICARO - Taller Manu (V-24/07): «Folios»</t>
        </is>
      </c>
      <c r="K135" s="13" t="inlineStr"/>
      <c r="L135" s="13" t="inlineStr"/>
    </row>
    <row r="136">
      <c r="A136" s="2" t="inlineStr">
        <is>
          <t>Foto impresa en papel de foto (cada uno la suya)</t>
        </is>
      </c>
      <c r="B136" s="3" t="inlineStr">
        <is>
          <t>Papeleria/manualidades</t>
        </is>
      </c>
      <c r="C136" s="6">
        <f>SUM(D136:H136)</f>
        <v/>
      </c>
      <c r="D136" s="3" t="n">
        <v>0</v>
      </c>
      <c r="E136" s="3" t="n">
        <v>0</v>
      </c>
      <c r="F136" s="3" t="n">
        <v>0</v>
      </c>
      <c r="G136" s="3" t="n">
        <v>1</v>
      </c>
      <c r="H136" s="3" t="n">
        <v>0</v>
      </c>
      <c r="I136" s="3" t="inlineStr">
        <is>
          <t>COMPRAR</t>
        </is>
      </c>
      <c r="J136" s="7" t="inlineStr">
        <is>
          <t>PIONEROS - Decorar fotos (Lluvia): «Foto impresa en papel de foto (cada uno la suya)»</t>
        </is>
      </c>
      <c r="K136" s="8" t="inlineStr"/>
      <c r="L136" s="8" t="inlineStr"/>
    </row>
    <row r="137">
      <c r="A137" s="9" t="inlineStr">
        <is>
          <t>Fotocopias, fichas de actividades y reflexiones</t>
        </is>
      </c>
      <c r="B137" s="10" t="inlineStr">
        <is>
          <t>Impresiones/documentacion</t>
        </is>
      </c>
      <c r="C137" s="11">
        <f>SUM(D137:H137)</f>
        <v/>
      </c>
      <c r="D137" s="10" t="n">
        <v>9</v>
      </c>
      <c r="E137" s="10" t="n">
        <v>3</v>
      </c>
      <c r="F137" s="10" t="n">
        <v>3</v>
      </c>
      <c r="G137" s="10" t="n">
        <v>10</v>
      </c>
      <c r="H137" s="10" t="n">
        <v>6</v>
      </c>
      <c r="I137" s="10" t="inlineStr">
        <is>
          <t>COMPRAR</t>
        </is>
      </c>
      <c r="J137" s="12" t="inlineStr">
        <is>
          <t>CASTORES - Rastreo nocturno (V-17/07 noche): «Leyendas de las constelaciones (comisión) - imprimir antes»
CASTORES - Gran Juego: El Taj perdido (con Lobatos) (S-18/07 tarde 1): «Taj Mahal impreso (se encarga la unidad)»
CASTORES - Taller constelaciones (S-18/07 noche): «Texto reflexión 'El Tren de los Sueños de Plata' (imprimir)»
CASTORES - Taller constelaciones (S-18/07 noche): «Imagen de constelaciones (imprimir)»
CASTORES - Acampada volante (x3 días) (D-19 a M-21/07): «Títulos fotocopia»
CASTORES - Progresión Personal (mandalas) (J-23/07 tarde 1): «Plantillas de mandalas circulares (comisión, imprimir antes)»
CASTORES - Consejo de troncos (V-24/07 noche): «Cuadernos»
CASTORES - Taller de arcilla (S-25/07 tarde 1): «Imágenes de amuletos impresas (en descripción)»
CASTORES - Lluvia: Carteles con letras chinas (Lluvia): «Imágenes impresas de letras chinas»
LOBATOS - El Taj perdido (con Castores) (S-18/07 tarde 1): «Taj Mahal impreso (se encarga la unidad)»
LOBATOS - Ruta volante (x3 días) (D-19 a M-21/07): «Títulos fotocopia»
LOBATOS - Promesas + progresión personal (S-25/07 mañana): «Cuaderno de caza»
EXPLORADORES - Velada con Pioneros: Estratego (J-23/07 noche): «Anexo tabla (fotocopiar)»
EXPLORADORES - Velada de debate (S-25/07 noche): «Papel con los 'supervivientes' (fotocopiar)»
EXPLORADORES - Raids (L-27/07): «Reflexiones impresas (unidad)»
PIONEROS - Taller de estrellas (V-17/07 noche): «Cuento/leyendas de estrellas»
PIONEROS - Volantes (x3 días) (D-19 a M-21/07): «Reflexiones»
PIONEROS - Velada pioneros (M-21/07 noche): «Black stories impresas»
PIONEROS - Fe (V-24/07 tarde 2): «V y F fotocopiado (Vali)»
PIONEROS - Refugiados por un día (S-25/07 tarde 2): «Noticias fotocopiadas (Vali)»
PIONEROS - Refugiados por un día (S-25/07 tarde 2): «Roles y situaciones fotocopiados (Vali)»
PIONEROS - Velada NNEE (S-25/07 noche): «Papelitos de términos fotocopiados (Vali)»
PIONEROS - Evaluación + Miss y Mister + velada (X-29/07 tarde): «Mandalas fotocopiados en cartulina blanca»
PIONEROS - Taller puzzle móvil (Lluvia): «Plantilla puzzle (fotocopiar)»
PIONEROS - Pintar mandalas (Lluvia): «Mandalas (fotocopiar)»
RUTAS PANDORA - Acampada volante (x3 días) (D-19 a M-21/07): «Títulos fotocopiados»
RUTAS PANDORA - Línea de la vida (Volante noche): «Reflexiones»
RUTAS ICARO - PPV (Vali) (V-17/07): «Cuadernos PPV (los suyos)»
RUTAS ICARO - Línea de la vida (Volante noche): «Reflexiones y preguntas fotocopiadas (Vali)»
RUTAS ICARO - Taller feminismo (actividad país) (X-22/07 noche): «Perfil de debate impreso (Eva y Vali)»
RUTAS ICARO - Raids (L-27 a M-28/07): «Reflexiones (Vali)»</t>
        </is>
      </c>
      <c r="K137" s="13" t="inlineStr"/>
      <c r="L137" s="13" t="inlineStr"/>
    </row>
    <row r="138">
      <c r="A138" s="2" t="inlineStr">
        <is>
          <t>Frascos grandes de cristal con tapa hermética</t>
        </is>
      </c>
      <c r="B138" s="3" t="inlineStr">
        <is>
          <t>Otros</t>
        </is>
      </c>
      <c r="C138" s="6">
        <f>SUM(D138:H138)</f>
        <v/>
      </c>
      <c r="D138" s="3" t="n">
        <v>0</v>
      </c>
      <c r="E138" s="3" t="n">
        <v>0</v>
      </c>
      <c r="F138" s="3" t="n">
        <v>0</v>
      </c>
      <c r="G138" s="3" t="n">
        <v>0</v>
      </c>
      <c r="H138" s="3" t="n">
        <v>1</v>
      </c>
      <c r="I138" s="3" t="inlineStr">
        <is>
          <t>YA HAY (bases) - revisar</t>
        </is>
      </c>
      <c r="J138" s="7" t="inlineStr">
        <is>
          <t>RUTAS PANDORA - Cambio climático y ecosistemas autosostenibles (S-25/07): «Frascos grandes de cristal con tapa hermética»</t>
        </is>
      </c>
      <c r="K138" s="8" t="inlineStr"/>
      <c r="L138" s="8" t="inlineStr"/>
    </row>
    <row r="139">
      <c r="A139" s="9" t="inlineStr">
        <is>
          <t>Furgoneta</t>
        </is>
      </c>
      <c r="B139" s="10" t="inlineStr">
        <is>
          <t>Otros</t>
        </is>
      </c>
      <c r="C139" s="11">
        <f>SUM(D139:H139)</f>
        <v/>
      </c>
      <c r="D139" s="10" t="n">
        <v>0</v>
      </c>
      <c r="E139" s="10" t="n">
        <v>0</v>
      </c>
      <c r="F139" s="10" t="n">
        <v>0</v>
      </c>
      <c r="G139" s="10" t="n">
        <v>0</v>
      </c>
      <c r="H139" s="10" t="n">
        <v>1</v>
      </c>
      <c r="I139" s="10" t="inlineStr">
        <is>
          <t>YA HAY (bases) - revisar</t>
        </is>
      </c>
      <c r="J139" s="12" t="inlineStr">
        <is>
          <t>RUTAS PANDORA - Rapel (D-26/07): «Furgoneta»</t>
        </is>
      </c>
      <c r="K139" s="13" t="inlineStr"/>
      <c r="L139" s="13" t="inlineStr"/>
    </row>
    <row r="140">
      <c r="A140" s="2" t="inlineStr">
        <is>
          <t>Ganchos de tornillo</t>
        </is>
      </c>
      <c r="B140" s="3" t="inlineStr">
        <is>
          <t>Construccion/herramientas</t>
        </is>
      </c>
      <c r="C140" s="6">
        <f>SUM(D140:H140)</f>
        <v/>
      </c>
      <c r="D140" s="3" t="n">
        <v>0</v>
      </c>
      <c r="E140" s="3" t="n">
        <v>10</v>
      </c>
      <c r="F140" s="3" t="n">
        <v>0</v>
      </c>
      <c r="G140" s="3" t="n">
        <v>0</v>
      </c>
      <c r="H140" s="3" t="n">
        <v>0</v>
      </c>
      <c r="I140" s="3" t="inlineStr">
        <is>
          <t>COMPRAR</t>
        </is>
      </c>
      <c r="J140" s="7" t="inlineStr">
        <is>
          <t>LOBATOS - Hotel de insectos (M-28/07 mañana): «10 ganchos de tornillo»</t>
        </is>
      </c>
      <c r="K140" s="8" t="inlineStr"/>
      <c r="L140" s="8" t="inlineStr"/>
    </row>
    <row r="141">
      <c r="A141" s="9" t="inlineStr">
        <is>
          <t>Globos de agua (hinchados en barreño)</t>
        </is>
      </c>
      <c r="B141" s="10" t="inlineStr">
        <is>
          <t>Otros</t>
        </is>
      </c>
      <c r="C141" s="11">
        <f>SUM(D141:H141)</f>
        <v/>
      </c>
      <c r="D141" s="10" t="n">
        <v>0</v>
      </c>
      <c r="E141" s="10" t="n">
        <v>0</v>
      </c>
      <c r="F141" s="10" t="n">
        <v>0</v>
      </c>
      <c r="G141" s="10" t="n">
        <v>1</v>
      </c>
      <c r="H141" s="10" t="n">
        <v>0</v>
      </c>
      <c r="I141" s="10" t="inlineStr">
        <is>
          <t>YA HAY (bases) - revisar</t>
        </is>
      </c>
      <c r="J141" s="12" t="inlineStr">
        <is>
          <t>PIONEROS - Juegos de agua (J-23/07 tarde 1): «Globos de agua (hinchados en barreño)»</t>
        </is>
      </c>
      <c r="K141" s="13" t="inlineStr"/>
      <c r="L141" s="13" t="inlineStr"/>
    </row>
    <row r="142">
      <c r="A142" s="2" t="inlineStr">
        <is>
          <t>Globos de agua 100</t>
        </is>
      </c>
      <c r="B142" s="3" t="inlineStr">
        <is>
          <t>Otros</t>
        </is>
      </c>
      <c r="C142" s="6">
        <f>SUM(D142:H142)</f>
        <v/>
      </c>
      <c r="D142" s="3" t="n">
        <v>0</v>
      </c>
      <c r="E142" s="3" t="n">
        <v>1</v>
      </c>
      <c r="F142" s="3" t="n">
        <v>0</v>
      </c>
      <c r="G142" s="3" t="n">
        <v>0</v>
      </c>
      <c r="H142" s="3" t="n">
        <v>0</v>
      </c>
      <c r="I142" s="3" t="inlineStr">
        <is>
          <t>YA HAY (bases) - revisar</t>
        </is>
      </c>
      <c r="J142" s="7" t="inlineStr">
        <is>
          <t>LOBATOS - Gymkana de agua (V-24/07 mañana): «Globos de agua 100»</t>
        </is>
      </c>
      <c r="K142" s="8" t="inlineStr"/>
      <c r="L142" s="8" t="inlineStr"/>
    </row>
    <row r="143">
      <c r="A143" s="9" t="inlineStr">
        <is>
          <t>Goma eva de colores</t>
        </is>
      </c>
      <c r="B143" s="10" t="inlineStr">
        <is>
          <t>Papeleria/manualidades</t>
        </is>
      </c>
      <c r="C143" s="11">
        <f>SUM(D143:H143)</f>
        <v/>
      </c>
      <c r="D143" s="10" t="n">
        <v>3</v>
      </c>
      <c r="E143" s="10" t="n">
        <v>1</v>
      </c>
      <c r="F143" s="10" t="n">
        <v>0</v>
      </c>
      <c r="G143" s="10" t="n">
        <v>0</v>
      </c>
      <c r="H143" s="10" t="n">
        <v>0</v>
      </c>
      <c r="I143" s="10" t="inlineStr">
        <is>
          <t>COMPRAR</t>
        </is>
      </c>
      <c r="J143" s="12" t="inlineStr">
        <is>
          <t>CASTORES - Taller insignias (V-17/07 tarde): «Goma eva de colores»
CASTORES - Gran Juego: El Taj perdido (con Lobatos) (S-18/07 tarde 1): «Goma eva de colores (vale con recortes)»
CASTORES - Talleres pinza (Bolsa de juegos): «Goma eva»
LOBATOS - El Taj perdido (con Castores) (S-18/07 tarde 1): «Goma eva de colores (recortes)»</t>
        </is>
      </c>
      <c r="K143" s="13" t="inlineStr"/>
      <c r="L143" s="13" t="inlineStr"/>
    </row>
    <row r="144">
      <c r="A144" s="2" t="inlineStr">
        <is>
          <t>Goma eva de muchos colores (bastante)</t>
        </is>
      </c>
      <c r="B144" s="3" t="inlineStr">
        <is>
          <t>Otros</t>
        </is>
      </c>
      <c r="C144" s="6">
        <f>SUM(D144:H144)</f>
        <v/>
      </c>
      <c r="D144" s="3" t="n">
        <v>0</v>
      </c>
      <c r="E144" s="3" t="n">
        <v>0</v>
      </c>
      <c r="F144" s="3" t="n">
        <v>0</v>
      </c>
      <c r="G144" s="3" t="n">
        <v>0</v>
      </c>
      <c r="H144" s="3" t="n">
        <v>1</v>
      </c>
      <c r="I144" s="3" t="inlineStr">
        <is>
          <t>YA HAY (bases) - revisar</t>
        </is>
      </c>
      <c r="J144" s="7" t="inlineStr">
        <is>
          <t>RUTAS ICARO - Revisar olimpiadas + hacer premios (S-26/07): «Goma eva de muchos colores (bastante)»</t>
        </is>
      </c>
      <c r="K144" s="8" t="inlineStr"/>
      <c r="L144" s="8" t="inlineStr"/>
    </row>
    <row r="145">
      <c r="A145" s="9" t="inlineStr">
        <is>
          <t>Goma eva dorada brillantina A4</t>
        </is>
      </c>
      <c r="B145" s="10" t="inlineStr">
        <is>
          <t>Papeleria/manualidades</t>
        </is>
      </c>
      <c r="C145" s="11">
        <f>SUM(D145:H145)</f>
        <v/>
      </c>
      <c r="D145" s="10" t="n">
        <v>0</v>
      </c>
      <c r="E145" s="10" t="n">
        <v>1</v>
      </c>
      <c r="F145" s="10" t="n">
        <v>0</v>
      </c>
      <c r="G145" s="10" t="n">
        <v>0</v>
      </c>
      <c r="H145" s="10" t="n">
        <v>0</v>
      </c>
      <c r="I145" s="10" t="inlineStr">
        <is>
          <t>COMPRAR</t>
        </is>
      </c>
      <c r="J145" s="12" t="inlineStr">
        <is>
          <t>LOBATOS - Lobatolimpiadas (S-25/07 tarde 2): «Lámina goma eva dorada brillantina A4»</t>
        </is>
      </c>
      <c r="K145" s="13" t="inlineStr"/>
      <c r="L145" s="13" t="inlineStr"/>
    </row>
    <row r="146">
      <c r="A146" s="2" t="inlineStr">
        <is>
          <t>Gomas de plástico</t>
        </is>
      </c>
      <c r="B146" s="3" t="inlineStr">
        <is>
          <t>Otros</t>
        </is>
      </c>
      <c r="C146" s="6">
        <f>SUM(D146:H146)</f>
        <v/>
      </c>
      <c r="D146" s="3" t="n">
        <v>1</v>
      </c>
      <c r="E146" s="3" t="n">
        <v>0</v>
      </c>
      <c r="F146" s="3" t="n">
        <v>0</v>
      </c>
      <c r="G146" s="3" t="n">
        <v>0</v>
      </c>
      <c r="H146" s="3" t="n">
        <v>0</v>
      </c>
      <c r="I146" s="3" t="inlineStr">
        <is>
          <t>YA HAY (bases) - revisar</t>
        </is>
      </c>
      <c r="J146" s="7" t="inlineStr">
        <is>
          <t>CASTORES - Diseño de camisetas (X-22/07 tarde 1): «Gomas de plástico»</t>
        </is>
      </c>
      <c r="K146" s="8" t="inlineStr"/>
      <c r="L146" s="8" t="inlineStr"/>
    </row>
    <row r="147">
      <c r="A147" s="9" t="inlineStr">
        <is>
          <t>Gomas elásticas</t>
        </is>
      </c>
      <c r="B147" s="10" t="inlineStr">
        <is>
          <t>Papeleria/manualidades</t>
        </is>
      </c>
      <c r="C147" s="11">
        <f>SUM(D147:H147)</f>
        <v/>
      </c>
      <c r="D147" s="10" t="n">
        <v>1</v>
      </c>
      <c r="E147" s="10" t="n">
        <v>0</v>
      </c>
      <c r="F147" s="10" t="n">
        <v>0</v>
      </c>
      <c r="G147" s="10" t="n">
        <v>0</v>
      </c>
      <c r="H147" s="10" t="n">
        <v>0</v>
      </c>
      <c r="I147" s="10" t="inlineStr">
        <is>
          <t>COMPRAR</t>
        </is>
      </c>
      <c r="J147" s="12" t="inlineStr">
        <is>
          <t>CASTORES - Actividad de agua: El descenso del Ganges (V-24/07 mañana): «Gomas elásticas (paquete)»</t>
        </is>
      </c>
      <c r="K147" s="13" t="inlineStr"/>
      <c r="L147" s="13" t="inlineStr"/>
    </row>
    <row r="148">
      <c r="A148" s="2" t="inlineStr">
        <is>
          <t>Gomets o pegatinas de las bases</t>
        </is>
      </c>
      <c r="B148" s="3" t="inlineStr">
        <is>
          <t>Otros</t>
        </is>
      </c>
      <c r="C148" s="6">
        <f>SUM(D148:H148)</f>
        <v/>
      </c>
      <c r="D148" s="3" t="n">
        <v>1</v>
      </c>
      <c r="E148" s="3" t="n">
        <v>0</v>
      </c>
      <c r="F148" s="3" t="n">
        <v>0</v>
      </c>
      <c r="G148" s="3" t="n">
        <v>0</v>
      </c>
      <c r="H148" s="3" t="n">
        <v>0</v>
      </c>
      <c r="I148" s="3" t="inlineStr">
        <is>
          <t>YA HAY (bases) - revisar</t>
        </is>
      </c>
      <c r="J148" s="7" t="inlineStr">
        <is>
          <t>CASTORES - Taller de sobres y cartas (Bolsa de juegos): «Gomets o pegatinas de las bases»</t>
        </is>
      </c>
      <c r="K148" s="8" t="inlineStr"/>
      <c r="L148" s="8" t="inlineStr"/>
    </row>
    <row r="149">
      <c r="A149" s="9" t="inlineStr">
        <is>
          <t>Gomitas de colores para pulseras</t>
        </is>
      </c>
      <c r="B149" s="10" t="inlineStr">
        <is>
          <t>Otros</t>
        </is>
      </c>
      <c r="C149" s="11">
        <f>SUM(D149:H149)</f>
        <v/>
      </c>
      <c r="D149" s="10" t="n">
        <v>0</v>
      </c>
      <c r="E149" s="10" t="n">
        <v>0</v>
      </c>
      <c r="F149" s="10" t="n">
        <v>0</v>
      </c>
      <c r="G149" s="10" t="n">
        <v>1</v>
      </c>
      <c r="H149" s="10" t="n">
        <v>0</v>
      </c>
      <c r="I149" s="10" t="inlineStr">
        <is>
          <t>YA HAY (bases) - revisar</t>
        </is>
      </c>
      <c r="J149" s="12" t="inlineStr">
        <is>
          <t>PIONEROS - Pulseras (L-20/07 noche): «Gomitas de colores para pulseras»</t>
        </is>
      </c>
      <c r="K149" s="13" t="inlineStr"/>
      <c r="L149" s="13" t="inlineStr"/>
    </row>
    <row r="150">
      <c r="A150" s="2" t="inlineStr">
        <is>
          <t>Gorro castor</t>
        </is>
      </c>
      <c r="B150" s="3" t="inlineStr">
        <is>
          <t>Otros</t>
        </is>
      </c>
      <c r="C150" s="6">
        <f>SUM(D150:H150)</f>
        <v/>
      </c>
      <c r="D150" s="3" t="n">
        <v>1</v>
      </c>
      <c r="E150" s="3" t="n">
        <v>0</v>
      </c>
      <c r="F150" s="3" t="n">
        <v>0</v>
      </c>
      <c r="G150" s="3" t="n">
        <v>0</v>
      </c>
      <c r="H150" s="3" t="n">
        <v>0</v>
      </c>
      <c r="I150" s="3" t="inlineStr">
        <is>
          <t>YA HAY (bases) - revisar</t>
        </is>
      </c>
      <c r="J150" s="7" t="inlineStr">
        <is>
          <t>CASTORES - Consejo de troncos (V-24/07 noche): «Gorro castor»</t>
        </is>
      </c>
      <c r="K150" s="8" t="inlineStr"/>
      <c r="L150" s="8" t="inlineStr"/>
    </row>
    <row r="151">
      <c r="A151" s="9" t="inlineStr">
        <is>
          <t>Grapadora</t>
        </is>
      </c>
      <c r="B151" s="10" t="inlineStr">
        <is>
          <t>Papeleria/manualidades</t>
        </is>
      </c>
      <c r="C151" s="11">
        <f>SUM(D151:H151)</f>
        <v/>
      </c>
      <c r="D151" s="10" t="n">
        <v>2</v>
      </c>
      <c r="E151" s="10" t="n">
        <v>0</v>
      </c>
      <c r="F151" s="10" t="n">
        <v>0</v>
      </c>
      <c r="G151" s="10" t="n">
        <v>0</v>
      </c>
      <c r="H151" s="10" t="n">
        <v>0</v>
      </c>
      <c r="I151" s="10" t="inlineStr">
        <is>
          <t>YA HAY (bases) - revisar</t>
        </is>
      </c>
      <c r="J151" s="12" t="inlineStr">
        <is>
          <t>CASTORES - Lluvia: Flipbook (D-26/07 (lluvia)): «Grapadora»
CASTORES - Cuento de imágenes (Bolsa de juegos): «Grapadora»</t>
        </is>
      </c>
      <c r="K151" s="13" t="inlineStr"/>
      <c r="L151" s="13" t="inlineStr"/>
    </row>
    <row r="152">
      <c r="A152" s="2" t="inlineStr">
        <is>
          <t>Guantes de trabajo (protección)</t>
        </is>
      </c>
      <c r="B152" s="3" t="inlineStr">
        <is>
          <t>Higiene/limpieza</t>
        </is>
      </c>
      <c r="C152" s="6">
        <f>SUM(D152:H152)</f>
        <v/>
      </c>
      <c r="D152" s="3" t="n">
        <v>0</v>
      </c>
      <c r="E152" s="3" t="n">
        <v>1</v>
      </c>
      <c r="F152" s="3" t="n">
        <v>1</v>
      </c>
      <c r="G152" s="3" t="n">
        <v>1</v>
      </c>
      <c r="H152" s="3" t="n">
        <v>1</v>
      </c>
      <c r="I152" s="3" t="inlineStr">
        <is>
          <t>LO TRAE EL NINO</t>
        </is>
      </c>
      <c r="J152" s="7" t="inlineStr">
        <is>
          <t>LOBATOS - Voluntariado conjunto Lobatos-Pioneros (J-23/07 mañana): «Guantes»
EXPLORADORES - Servicio en el pueblo (J-23/07 mañana): «Pendiente del voluntariado, se suelen necesitar: Guantes»
PIONEROS - Voluntariado con Lobatos (J-23/07 mañana): «Guantes»
RUTAS ICARO - Voluntariado Manuela (J-23/07): «Guantes»</t>
        </is>
      </c>
      <c r="K152" s="8" t="inlineStr"/>
      <c r="L152" s="8" t="inlineStr"/>
    </row>
    <row r="153">
      <c r="A153" s="9" t="inlineStr">
        <is>
          <t>Hierros de tienda</t>
        </is>
      </c>
      <c r="B153" s="10" t="inlineStr">
        <is>
          <t>Construccion/herramientas</t>
        </is>
      </c>
      <c r="C153" s="11">
        <f>SUM(D153:H153)</f>
        <v/>
      </c>
      <c r="D153" s="10" t="n">
        <v>0</v>
      </c>
      <c r="E153" s="10" t="n">
        <v>1</v>
      </c>
      <c r="F153" s="10" t="n">
        <v>0</v>
      </c>
      <c r="G153" s="10" t="n">
        <v>0</v>
      </c>
      <c r="H153" s="10" t="n">
        <v>1</v>
      </c>
      <c r="I153" s="10" t="inlineStr">
        <is>
          <t>YA HAY (bases) - revisar</t>
        </is>
      </c>
      <c r="J153" s="12" t="inlineStr">
        <is>
          <t>LOBATOS - Montaje (J-16/07 mañana): «Hierros»
RUTAS ICARO - OLIMPIADAS (grupal) (X-29/07 mañana): «Hierros de tiendas de 3-4 tamaños»</t>
        </is>
      </c>
      <c r="K153" s="13" t="inlineStr"/>
      <c r="L153" s="13" t="inlineStr"/>
    </row>
    <row r="154">
      <c r="A154" s="2" t="inlineStr">
        <is>
          <t>Hierros y listones para tendedero</t>
        </is>
      </c>
      <c r="B154" s="3" t="inlineStr">
        <is>
          <t>Otros</t>
        </is>
      </c>
      <c r="C154" s="6">
        <f>SUM(D154:H154)</f>
        <v/>
      </c>
      <c r="D154" s="3" t="n">
        <v>0</v>
      </c>
      <c r="E154" s="3" t="n">
        <v>0</v>
      </c>
      <c r="F154" s="3" t="n">
        <v>0</v>
      </c>
      <c r="G154" s="3" t="n">
        <v>0</v>
      </c>
      <c r="H154" s="3" t="n">
        <v>1</v>
      </c>
      <c r="I154" s="3" t="inlineStr">
        <is>
          <t>YA HAY (bases) - revisar</t>
        </is>
      </c>
      <c r="J154" s="7" t="inlineStr">
        <is>
          <t>RUTAS ICARO - Construcciones (J-16/07): «Hierros y listones para tendedero»</t>
        </is>
      </c>
      <c r="K154" s="8" t="inlineStr"/>
      <c r="L154" s="8" t="inlineStr"/>
    </row>
    <row r="155">
      <c r="A155" s="9" t="inlineStr">
        <is>
          <t>Hilo coreano de diferentes colores (3 m x niño)</t>
        </is>
      </c>
      <c r="B155" s="10" t="inlineStr">
        <is>
          <t>Otros</t>
        </is>
      </c>
      <c r="C155" s="11">
        <f>SUM(D155:H155)</f>
        <v/>
      </c>
      <c r="D155" s="10" t="n">
        <v>0</v>
      </c>
      <c r="E155" s="10">
        <f>CONFIG!$B$3*3</f>
        <v/>
      </c>
      <c r="F155" s="10" t="n">
        <v>0</v>
      </c>
      <c r="G155" s="10" t="n">
        <v>0</v>
      </c>
      <c r="H155" s="10" t="n">
        <v>0</v>
      </c>
      <c r="I155" s="10" t="inlineStr">
        <is>
          <t>YA HAY (bases) - revisar</t>
        </is>
      </c>
      <c r="J155" s="12" t="inlineStr">
        <is>
          <t>LOBATOS - Taller de pulseras (D-19/07 tarde): «Hilo coreano de diferentes colores (3 m x niño)»</t>
        </is>
      </c>
      <c r="K155" s="13" t="inlineStr"/>
      <c r="L155" s="13" t="inlineStr"/>
    </row>
    <row r="156">
      <c r="A156" s="2" t="inlineStr">
        <is>
          <t>Hilo de colores (fino, no lana)</t>
        </is>
      </c>
      <c r="B156" s="3" t="inlineStr">
        <is>
          <t>Otros</t>
        </is>
      </c>
      <c r="C156" s="6">
        <f>SUM(D156:H156)</f>
        <v/>
      </c>
      <c r="D156" s="3" t="n">
        <v>0</v>
      </c>
      <c r="E156" s="3" t="n">
        <v>0</v>
      </c>
      <c r="F156" s="3" t="n">
        <v>0</v>
      </c>
      <c r="G156" s="3" t="n">
        <v>1</v>
      </c>
      <c r="H156" s="3" t="n">
        <v>0</v>
      </c>
      <c r="I156" s="3" t="inlineStr">
        <is>
          <t>YA HAY (bases) - revisar</t>
        </is>
      </c>
      <c r="J156" s="7" t="inlineStr">
        <is>
          <t>PIONEROS - Decorar fotos (Lluvia): «Hilo de colores (fino, no lana)»</t>
        </is>
      </c>
      <c r="K156" s="8" t="inlineStr"/>
      <c r="L156" s="8" t="inlineStr"/>
    </row>
    <row r="157">
      <c r="A157" s="9" t="inlineStr">
        <is>
          <t>Hilo de colores para atar (gordito, no lana ni de pulseras fino)</t>
        </is>
      </c>
      <c r="B157" s="10" t="inlineStr">
        <is>
          <t>Otros</t>
        </is>
      </c>
      <c r="C157" s="11">
        <f>SUM(D157:H157)</f>
        <v/>
      </c>
      <c r="D157" s="10" t="n">
        <v>0</v>
      </c>
      <c r="E157" s="10" t="n">
        <v>0</v>
      </c>
      <c r="F157" s="10" t="n">
        <v>0</v>
      </c>
      <c r="G157" s="10" t="n">
        <v>1</v>
      </c>
      <c r="H157" s="10" t="n">
        <v>0</v>
      </c>
      <c r="I157" s="10" t="inlineStr">
        <is>
          <t>YA HAY (bases) - revisar</t>
        </is>
      </c>
      <c r="J157" s="12" t="inlineStr">
        <is>
          <t>PIONEROS - Evaluación + Miss y Mister + velada (X-29/07 tarde): «Hilo de colores para atar (gordito, no lana ni de pulseras fino)»</t>
        </is>
      </c>
      <c r="K157" s="13" t="inlineStr"/>
      <c r="L157" s="13" t="inlineStr"/>
    </row>
    <row r="158">
      <c r="A158" s="2" t="inlineStr">
        <is>
          <t>Hilo de pulsera, 7-8 colores</t>
        </is>
      </c>
      <c r="B158" s="3" t="inlineStr">
        <is>
          <t>Otros</t>
        </is>
      </c>
      <c r="C158" s="6">
        <f>SUM(D158:H158)</f>
        <v/>
      </c>
      <c r="D158" s="3" t="n">
        <v>0</v>
      </c>
      <c r="E158" s="3" t="n">
        <v>0</v>
      </c>
      <c r="F158" s="3" t="n">
        <v>0</v>
      </c>
      <c r="G158" s="3" t="n">
        <v>1</v>
      </c>
      <c r="H158" s="3" t="n">
        <v>0</v>
      </c>
      <c r="I158" s="3" t="inlineStr">
        <is>
          <t>YA HAY (bases) - revisar</t>
        </is>
      </c>
      <c r="J158" s="7" t="inlineStr">
        <is>
          <t>PIONEROS - Pulseras (Lluvia): «Hilo de pulsera, 7-8 colores»</t>
        </is>
      </c>
      <c r="K158" s="8" t="inlineStr"/>
      <c r="L158" s="8" t="inlineStr"/>
    </row>
    <row r="159">
      <c r="A159" s="9" t="inlineStr">
        <is>
          <t>Imperdibles</t>
        </is>
      </c>
      <c r="B159" s="10" t="inlineStr">
        <is>
          <t>Papeleria/manualidades</t>
        </is>
      </c>
      <c r="C159" s="11">
        <f>SUM(D159:H159)</f>
        <v/>
      </c>
      <c r="D159" s="10" t="n">
        <v>9</v>
      </c>
      <c r="E159" s="10" t="n">
        <v>0</v>
      </c>
      <c r="F159" s="10" t="n">
        <v>0</v>
      </c>
      <c r="G159" s="10" t="n">
        <v>1</v>
      </c>
      <c r="H159" s="10" t="n">
        <v>1</v>
      </c>
      <c r="I159" s="10" t="inlineStr">
        <is>
          <t>COMPRAR</t>
        </is>
      </c>
      <c r="J159" s="12" t="inlineStr">
        <is>
          <t>CASTORES - Montaje de tiendas (J-16/07 mañana): «Imperdibles x4»
CASTORES - Construcciones zona común (V-17/07 mañana): «Imperdibles x4»
CASTORES - Taller insignias (V-17/07 tarde): «Imperdibles»
PIONEROS - Pulseras (Lluvia): «Imperdibles»
RUTAS ICARO - Construcciones (J-16/07): «Imperdibles»</t>
        </is>
      </c>
      <c r="K159" s="13" t="inlineStr"/>
      <c r="L159" s="13" t="inlineStr"/>
    </row>
    <row r="160">
      <c r="A160" s="2" t="inlineStr">
        <is>
          <t>Incienso</t>
        </is>
      </c>
      <c r="B160" s="3" t="inlineStr">
        <is>
          <t>Otros</t>
        </is>
      </c>
      <c r="C160" s="6">
        <f>SUM(D160:H160)</f>
        <v/>
      </c>
      <c r="D160" s="3" t="n">
        <v>0</v>
      </c>
      <c r="E160" s="3" t="n">
        <v>1</v>
      </c>
      <c r="F160" s="3" t="n">
        <v>0</v>
      </c>
      <c r="G160" s="3" t="n">
        <v>0</v>
      </c>
      <c r="H160" s="3" t="n">
        <v>0</v>
      </c>
      <c r="I160" s="3" t="inlineStr">
        <is>
          <t>YA HAY (bases) - revisar</t>
        </is>
      </c>
      <c r="J160" s="7" t="inlineStr">
        <is>
          <t>LOBATOS - Juegos India (V-17/07 mañana): «Incienso»</t>
        </is>
      </c>
      <c r="K160" s="8" t="inlineStr"/>
      <c r="L160" s="8" t="inlineStr"/>
    </row>
    <row r="161">
      <c r="A161" s="9" t="inlineStr">
        <is>
          <t>Insignia de arat</t>
        </is>
      </c>
      <c r="B161" s="10" t="inlineStr">
        <is>
          <t>Otros</t>
        </is>
      </c>
      <c r="C161" s="11">
        <f>SUM(D161:H161)</f>
        <v/>
      </c>
      <c r="D161" s="10" t="n">
        <v>1</v>
      </c>
      <c r="E161" s="10" t="n">
        <v>0</v>
      </c>
      <c r="F161" s="10" t="n">
        <v>0</v>
      </c>
      <c r="G161" s="10" t="n">
        <v>0</v>
      </c>
      <c r="H161" s="10" t="n">
        <v>0</v>
      </c>
      <c r="I161" s="10" t="inlineStr">
        <is>
          <t>YA HAY (bases) - revisar</t>
        </is>
      </c>
      <c r="J161" s="12" t="inlineStr">
        <is>
          <t>CASTORES - Consejo de troncos (V-24/07 noche): «Insignia de arat»</t>
        </is>
      </c>
      <c r="K161" s="13" t="inlineStr"/>
      <c r="L161" s="13" t="inlineStr"/>
    </row>
    <row r="162">
      <c r="A162" s="2" t="inlineStr">
        <is>
          <t>Insignia del tronco (promesa)</t>
        </is>
      </c>
      <c r="B162" s="3" t="inlineStr">
        <is>
          <t>Otros</t>
        </is>
      </c>
      <c r="C162" s="6">
        <f>SUM(D162:H162)</f>
        <v/>
      </c>
      <c r="D162" s="3" t="n">
        <v>1</v>
      </c>
      <c r="E162" s="3" t="n">
        <v>0</v>
      </c>
      <c r="F162" s="3" t="n">
        <v>0</v>
      </c>
      <c r="G162" s="3" t="n">
        <v>0</v>
      </c>
      <c r="H162" s="3" t="n">
        <v>0</v>
      </c>
      <c r="I162" s="3" t="inlineStr">
        <is>
          <t>YA HAY (bases) - revisar</t>
        </is>
      </c>
      <c r="J162" s="7" t="inlineStr">
        <is>
          <t>CASTORES - Consejo de troncos (V-24/07 noche): «Insignia del tronco (promesa)»</t>
        </is>
      </c>
      <c r="K162" s="8" t="inlineStr"/>
      <c r="L162" s="8" t="inlineStr"/>
    </row>
    <row r="163">
      <c r="A163" s="9" t="inlineStr">
        <is>
          <t>Insignias territorios</t>
        </is>
      </c>
      <c r="B163" s="10" t="inlineStr">
        <is>
          <t>Otros</t>
        </is>
      </c>
      <c r="C163" s="11">
        <f>SUM(D163:H163)</f>
        <v/>
      </c>
      <c r="D163" s="10" t="n">
        <v>0</v>
      </c>
      <c r="E163" s="10" t="n">
        <v>1</v>
      </c>
      <c r="F163" s="10" t="n">
        <v>0</v>
      </c>
      <c r="G163" s="10" t="n">
        <v>0</v>
      </c>
      <c r="H163" s="10" t="n">
        <v>0</v>
      </c>
      <c r="I163" s="10" t="inlineStr">
        <is>
          <t>YA HAY (bases) - revisar</t>
        </is>
      </c>
      <c r="J163" s="12" t="inlineStr">
        <is>
          <t>LOBATOS - Promesas + progresión personal (S-25/07 mañana): «Insignias territorios»</t>
        </is>
      </c>
      <c r="K163" s="13" t="inlineStr"/>
      <c r="L163" s="13" t="inlineStr"/>
    </row>
    <row r="164">
      <c r="A164" s="2" t="inlineStr">
        <is>
          <t>Jarras de cocina</t>
        </is>
      </c>
      <c r="B164" s="3" t="inlineStr">
        <is>
          <t>Otros</t>
        </is>
      </c>
      <c r="C164" s="6">
        <f>SUM(D164:H164)</f>
        <v/>
      </c>
      <c r="D164" s="3" t="n">
        <v>0</v>
      </c>
      <c r="E164" s="3" t="n">
        <v>0</v>
      </c>
      <c r="F164" s="3" t="n">
        <v>0</v>
      </c>
      <c r="G164" s="3" t="n">
        <v>1</v>
      </c>
      <c r="H164" s="3" t="n">
        <v>0</v>
      </c>
      <c r="I164" s="3" t="inlineStr">
        <is>
          <t>YA HAY (bases) - revisar</t>
        </is>
      </c>
      <c r="J164" s="7" t="inlineStr">
        <is>
          <t>PIONEROS - Juegos de agua (J-23/07 tarde 1): «Jarras de cocina»</t>
        </is>
      </c>
      <c r="K164" s="8" t="inlineStr"/>
      <c r="L164" s="8" t="inlineStr"/>
    </row>
    <row r="165">
      <c r="A165" s="9" t="inlineStr">
        <is>
          <t>Juegos de la caja</t>
        </is>
      </c>
      <c r="B165" s="10" t="inlineStr">
        <is>
          <t>Otros</t>
        </is>
      </c>
      <c r="C165" s="11">
        <f>SUM(D165:H165)</f>
        <v/>
      </c>
      <c r="D165" s="10" t="n">
        <v>0</v>
      </c>
      <c r="E165" s="10" t="n">
        <v>0</v>
      </c>
      <c r="F165" s="10" t="n">
        <v>0</v>
      </c>
      <c r="G165" s="10" t="n">
        <v>1</v>
      </c>
      <c r="H165" s="10" t="n">
        <v>0</v>
      </c>
      <c r="I165" s="10" t="inlineStr">
        <is>
          <t>YA HAY (bases) - revisar</t>
        </is>
      </c>
      <c r="J165" s="12" t="inlineStr">
        <is>
          <t>PIONEROS - Velada teleclub (X-22/07 noche): «Juegos de la caja»</t>
        </is>
      </c>
      <c r="K165" s="13" t="inlineStr"/>
      <c r="L165" s="13" t="inlineStr"/>
    </row>
    <row r="166">
      <c r="A166" s="2" t="inlineStr">
        <is>
          <t>Juegos de mesa y barajas de cartas</t>
        </is>
      </c>
      <c r="B166" s="3" t="inlineStr">
        <is>
          <t>Juegos/deporte</t>
        </is>
      </c>
      <c r="C166" s="6">
        <f>SUM(D166:H166)</f>
        <v/>
      </c>
      <c r="D166" s="3" t="n">
        <v>1</v>
      </c>
      <c r="E166" s="3" t="n">
        <v>2</v>
      </c>
      <c r="F166" s="3" t="n">
        <v>5</v>
      </c>
      <c r="G166" s="3" t="n">
        <v>4</v>
      </c>
      <c r="H166" s="3" t="n">
        <v>7</v>
      </c>
      <c r="I166" s="3" t="inlineStr">
        <is>
          <t>YA HAY (bases) - revisar</t>
        </is>
      </c>
      <c r="J166" s="7" t="inlineStr">
        <is>
          <t>CASTORES - Juegos de mesa (X-22/07 noche): «Juegos de mesa de las bases»
LOBATOS - Juegos India (V-17/07 mañana): «Parchís y fichas x3»
LOBATOS - Teleclub (M-21/07 noche): «Juegos de mesa»
LOBATOS - Piscina pueblo (con Pioneros) (J-23/07 día): «Cartas para jugar»
LOBATOS - Picoteo al estilo lobato (L-27/07 tarde-noche): «Juegos de mesa»
LOBATOS - GRUPAL: Barracas - El Gran Bazar (D-26/07 tarde): «Baraja de cartas»
EXPLORADORES - Teleclub (M-21/07 noche): «Caja de juegos: Gobbit, baraja de cartas, Jungle Speed, Virus...»
EXPLORADORES - Actividad Clan Ícaro (Trivial) (X-22/07 tarde 1): «Tablero de trivial (impreso)»
EXPLORADORES - Actividad Clan Ícaro (Trivial) (X-22/07 tarde 1): «Dados»
EXPLORADORES - Actividad Clan Ícaro (Trivial) (X-22/07 tarde 1): «Fichas»
EXPLORADORES - Scape room (S-25/07 tarde 1): «Candados (todos los que haya, distintos tipos)»
PIONEROS - Actividad Clan Ícaro - Drogas (S-18/07 tarde 1): «Cartas»
PIONEROS - Juegos de cartas tradicionales (D-19/07 noche): «Baraja española de cartas COMPLETA»
PIONEROS - Velada pioneros (M-21/07 noche): «Juegos de mesa de la caja: 'El Mortal' y 'Family Business'»
PIONEROS - Velada teleclub (X-22/07 noche): «Baraja de cartas»
RUTAS PANDORA - Actividad de adicciones con pipis (J-16/07): «Cartas»
RUTAS PANDORA - Juegos de mesa (X-22/07 noche): «Juegos de mesa nuestros y de las bases»
RUTAS ICARO - Taller para Pioneros - Drogas (S-18/07): «Cartas»
RUTAS ICARO - Juegos de mesa (M-21/07 noche): «Caja de juegos de mesa»
RUTAS ICARO - Actividad para Tropa: Trivial (X-22/07): «Tablero de trivial (impreso)»
RUTAS ICARO - Actividad para Tropa: Trivial (X-22/07): «Dados»
RUTAS ICARO - Actividad para Tropa: Trivial (X-22/07): «Fichas»</t>
        </is>
      </c>
      <c r="K166" s="8" t="inlineStr"/>
      <c r="L166" s="8" t="inlineStr"/>
    </row>
    <row r="167">
      <c r="A167" s="9" t="inlineStr">
        <is>
          <t>Lana de colores</t>
        </is>
      </c>
      <c r="B167" s="10" t="inlineStr">
        <is>
          <t>Otros</t>
        </is>
      </c>
      <c r="C167" s="11">
        <f>SUM(D167:H167)</f>
        <v/>
      </c>
      <c r="D167" s="10" t="n">
        <v>0</v>
      </c>
      <c r="E167" s="10" t="n">
        <v>0</v>
      </c>
      <c r="F167" s="10" t="n">
        <v>0</v>
      </c>
      <c r="G167" s="10" t="n">
        <v>1</v>
      </c>
      <c r="H167" s="10" t="n">
        <v>0</v>
      </c>
      <c r="I167" s="10" t="inlineStr">
        <is>
          <t>YA HAY (bases) - revisar</t>
        </is>
      </c>
      <c r="J167" s="12" t="inlineStr">
        <is>
          <t>PIONEROS - Taller de tejer (Lluvia): «Lana de colores»</t>
        </is>
      </c>
      <c r="K167" s="13" t="inlineStr"/>
      <c r="L167" s="13" t="inlineStr"/>
    </row>
    <row r="168">
      <c r="A168" s="2" t="inlineStr">
        <is>
          <t>Lanzadoras tipo Nerf (unidad, solo monitores)</t>
        </is>
      </c>
      <c r="B168" s="3" t="inlineStr">
        <is>
          <t>Otros</t>
        </is>
      </c>
      <c r="C168" s="6">
        <f>SUM(D168:H168)</f>
        <v/>
      </c>
      <c r="D168" s="3" t="n">
        <v>0</v>
      </c>
      <c r="E168" s="3" t="n">
        <v>0</v>
      </c>
      <c r="F168" s="3" t="n">
        <v>1</v>
      </c>
      <c r="G168" s="3" t="n">
        <v>0</v>
      </c>
      <c r="H168" s="3" t="n">
        <v>0</v>
      </c>
      <c r="I168" s="3" t="inlineStr">
        <is>
          <t>YA HAY (bases) - revisar</t>
        </is>
      </c>
      <c r="J168" s="7" t="inlineStr">
        <is>
          <t>EXPLORADORES - Juegos (Tropiolimpiadas - cerbatanas) (J-16/07 tarde): «Lanzadoras tipo Nerf (unidad, solo monitores)»</t>
        </is>
      </c>
      <c r="K168" s="8" t="inlineStr"/>
      <c r="L168" s="8" t="inlineStr"/>
    </row>
    <row r="169">
      <c r="A169" s="9" t="inlineStr">
        <is>
          <t>Lata de aluminio 2 por niño</t>
        </is>
      </c>
      <c r="B169" s="10" t="inlineStr">
        <is>
          <t>Otros</t>
        </is>
      </c>
      <c r="C169" s="11">
        <f>SUM(D169:H169)</f>
        <v/>
      </c>
      <c r="D169" s="10" t="n">
        <v>0</v>
      </c>
      <c r="E169" s="10" t="n">
        <v>0</v>
      </c>
      <c r="F169" s="10" t="n">
        <v>1</v>
      </c>
      <c r="G169" s="10" t="n">
        <v>0</v>
      </c>
      <c r="H169" s="10" t="n">
        <v>0</v>
      </c>
      <c r="I169" s="10" t="inlineStr">
        <is>
          <t>YA HAY (bases) - revisar</t>
        </is>
      </c>
      <c r="J169" s="12" t="inlineStr">
        <is>
          <t>EXPLORADORES - Taller de hornillo (S-18/07 tarde 1): «Lata de aluminio 2 por niño»</t>
        </is>
      </c>
      <c r="K169" s="13" t="inlineStr"/>
      <c r="L169" s="13" t="inlineStr"/>
    </row>
    <row r="170">
      <c r="A170" s="2" t="inlineStr">
        <is>
          <t>Lentejas x300</t>
        </is>
      </c>
      <c r="B170" s="3" t="inlineStr">
        <is>
          <t>Otros</t>
        </is>
      </c>
      <c r="C170" s="6">
        <f>SUM(D170:H170)</f>
        <v/>
      </c>
      <c r="D170" s="3" t="n">
        <v>0</v>
      </c>
      <c r="E170" s="3" t="n">
        <v>0</v>
      </c>
      <c r="F170" s="3" t="n">
        <v>300</v>
      </c>
      <c r="G170" s="3" t="n">
        <v>0</v>
      </c>
      <c r="H170" s="3" t="n">
        <v>0</v>
      </c>
      <c r="I170" s="3" t="inlineStr">
        <is>
          <t>YA HAY (bases) - revisar</t>
        </is>
      </c>
      <c r="J170" s="7" t="inlineStr">
        <is>
          <t>EXPLORADORES - Scape room (S-25/07 tarde 1): «Lentejas x300»</t>
        </is>
      </c>
      <c r="K170" s="8" t="inlineStr"/>
      <c r="L170" s="8" t="inlineStr"/>
    </row>
    <row r="171">
      <c r="A171" s="9" t="inlineStr">
        <is>
          <t>Libro con muchas páginas</t>
        </is>
      </c>
      <c r="B171" s="10" t="inlineStr">
        <is>
          <t>Otros</t>
        </is>
      </c>
      <c r="C171" s="11">
        <f>SUM(D171:H171)</f>
        <v/>
      </c>
      <c r="D171" s="10" t="n">
        <v>0</v>
      </c>
      <c r="E171" s="10" t="n">
        <v>0</v>
      </c>
      <c r="F171" s="10" t="n">
        <v>1</v>
      </c>
      <c r="G171" s="10" t="n">
        <v>0</v>
      </c>
      <c r="H171" s="10" t="n">
        <v>0</v>
      </c>
      <c r="I171" s="10" t="inlineStr">
        <is>
          <t>YA HAY (bases) - revisar</t>
        </is>
      </c>
      <c r="J171" s="12" t="inlineStr">
        <is>
          <t>EXPLORADORES - Scape room (S-25/07 tarde 1): «Libro con muchas páginas»</t>
        </is>
      </c>
      <c r="K171" s="13" t="inlineStr"/>
      <c r="L171" s="13" t="inlineStr"/>
    </row>
    <row r="172">
      <c r="A172" s="2" t="inlineStr">
        <is>
          <t>Lija de grano fino</t>
        </is>
      </c>
      <c r="B172" s="3" t="inlineStr">
        <is>
          <t>Construccion/herramientas</t>
        </is>
      </c>
      <c r="C172" s="6">
        <f>SUM(D172:H172)</f>
        <v/>
      </c>
      <c r="D172" s="3" t="n">
        <v>0</v>
      </c>
      <c r="E172" s="3" t="n">
        <v>0</v>
      </c>
      <c r="F172" s="3" t="n">
        <v>1</v>
      </c>
      <c r="G172" s="3" t="n">
        <v>0</v>
      </c>
      <c r="H172" s="3" t="n">
        <v>0</v>
      </c>
      <c r="I172" s="3" t="inlineStr">
        <is>
          <t>COMPRAR</t>
        </is>
      </c>
      <c r="J172" s="7" t="inlineStr">
        <is>
          <t>EXPLORADORES - Juegos (Tropiolimpiadas - cerbatanas) (J-16/07 tarde): «Lija de grano fino»</t>
        </is>
      </c>
      <c r="K172" s="8" t="inlineStr"/>
      <c r="L172" s="8" t="inlineStr"/>
    </row>
    <row r="173">
      <c r="A173" s="9" t="inlineStr">
        <is>
          <t>Linternas / Frontales</t>
        </is>
      </c>
      <c r="B173" s="10" t="inlineStr">
        <is>
          <t>Iluminacion/electronica</t>
        </is>
      </c>
      <c r="C173" s="11">
        <f>SUM(D173:H173)</f>
        <v/>
      </c>
      <c r="D173" s="10" t="n">
        <v>3</v>
      </c>
      <c r="E173" s="10" t="n">
        <v>2</v>
      </c>
      <c r="F173" s="10" t="n">
        <v>4</v>
      </c>
      <c r="G173" s="10" t="n">
        <v>4</v>
      </c>
      <c r="H173" s="10" t="n">
        <v>1</v>
      </c>
      <c r="I173" s="10" t="inlineStr">
        <is>
          <t>LO TRAE EL NINO</t>
        </is>
      </c>
      <c r="J173" s="12" t="inlineStr">
        <is>
          <t>CASTORES - Taller constelaciones (S-18/07 noche): «Frontal o linterna del móvil»
CASTORES - Caza Gamusino (M-21/07 noche): «Frontales»
CASTORES - Juegos nocturnos (stalking) (S-25/07 noche): «Linternas»
LOBATOS - Juegos nocturnos (V-17/07 noche): «Frontales»
LOBATOS - GRUPAL: Velada inicial (J-16/07 noche): «(De la descripción) Frontales y linternas»
EXPLORADORES - Velada de código morse (V-17/07 noche): «Silbato o linterna x3»
EXPLORADORES - Preparación de volantes (noche) (S-18/07 noche): «Frontales»
PIONEROS - Preparación volantes (noche) (S-18/07 noche): «Frontales»
PIONEROS - Velada conjunta Tropa - Stratego (J-23/07 noche): «Frontales»
PIONEROS - Raids (L-27 a M-28/07): «Navaja/frontal»
PIONEROS - Velada final conjunta (X-29/07 noche): «Frontales»
RUTAS PANDORA - Stalking con el Clan Ícaro (D-26/07 noche): «Frontales»</t>
        </is>
      </c>
      <c r="K173" s="13" t="inlineStr"/>
      <c r="L173" s="13" t="inlineStr"/>
    </row>
    <row r="174">
      <c r="A174" s="2" t="inlineStr">
        <is>
          <t>Lista de preguntas impresa (Eva y Vali)</t>
        </is>
      </c>
      <c r="B174" s="3" t="inlineStr">
        <is>
          <t>Otros</t>
        </is>
      </c>
      <c r="C174" s="6">
        <f>SUM(D174:H174)</f>
        <v/>
      </c>
      <c r="D174" s="3" t="n">
        <v>0</v>
      </c>
      <c r="E174" s="3" t="n">
        <v>0</v>
      </c>
      <c r="F174" s="3" t="n">
        <v>0</v>
      </c>
      <c r="G174" s="3" t="n">
        <v>0</v>
      </c>
      <c r="H174" s="3" t="n">
        <v>1</v>
      </c>
      <c r="I174" s="3" t="inlineStr">
        <is>
          <t>YA HAY (bases) - revisar</t>
        </is>
      </c>
      <c r="J174" s="7" t="inlineStr">
        <is>
          <t>RUTAS ICARO - Taller feminismo (actividad país) (X-22/07 noche): «Lista de preguntas impresa (Eva y Vali)»</t>
        </is>
      </c>
      <c r="K174" s="8" t="inlineStr"/>
      <c r="L174" s="8" t="inlineStr"/>
    </row>
    <row r="175">
      <c r="A175" s="9" t="inlineStr">
        <is>
          <t>Listones circulares</t>
        </is>
      </c>
      <c r="B175" s="10" t="inlineStr">
        <is>
          <t>Otros</t>
        </is>
      </c>
      <c r="C175" s="11">
        <f>SUM(D175:H175)</f>
        <v/>
      </c>
      <c r="D175" s="10" t="n">
        <v>0</v>
      </c>
      <c r="E175" s="10" t="n">
        <v>0</v>
      </c>
      <c r="F175" s="10" t="n">
        <v>1</v>
      </c>
      <c r="G175" s="10" t="n">
        <v>0</v>
      </c>
      <c r="H175" s="10" t="n">
        <v>0</v>
      </c>
      <c r="I175" s="10" t="inlineStr">
        <is>
          <t>YA HAY (bases) - revisar</t>
        </is>
      </c>
      <c r="J175" s="12" t="inlineStr">
        <is>
          <t>EXPLORADORES - Construcciones adicionales (V-17/07 tarde 1): «Listones circulares»</t>
        </is>
      </c>
      <c r="K175" s="13" t="inlineStr"/>
      <c r="L175" s="13" t="inlineStr"/>
    </row>
    <row r="176">
      <c r="A176" s="2" t="inlineStr">
        <is>
          <t>Listones para portada</t>
        </is>
      </c>
      <c r="B176" s="3" t="inlineStr">
        <is>
          <t>Otros</t>
        </is>
      </c>
      <c r="C176" s="6">
        <f>SUM(D176:H176)</f>
        <v/>
      </c>
      <c r="D176" s="3" t="n">
        <v>0</v>
      </c>
      <c r="E176" s="3" t="n">
        <v>0</v>
      </c>
      <c r="F176" s="3" t="n">
        <v>1</v>
      </c>
      <c r="G176" s="3" t="n">
        <v>0</v>
      </c>
      <c r="H176" s="3" t="n">
        <v>0</v>
      </c>
      <c r="I176" s="3" t="inlineStr">
        <is>
          <t>YA HAY (bases) - revisar</t>
        </is>
      </c>
      <c r="J176" s="7" t="inlineStr">
        <is>
          <t>EXPLORADORES - Construcciones rústicas (J-16/07 mañana+tarde): «Listones para portada»</t>
        </is>
      </c>
      <c r="K176" s="8" t="inlineStr"/>
      <c r="L176" s="8" t="inlineStr"/>
    </row>
    <row r="177">
      <c r="A177" s="9" t="inlineStr">
        <is>
          <t>Listones sobrantes</t>
        </is>
      </c>
      <c r="B177" s="10" t="inlineStr">
        <is>
          <t>Otros</t>
        </is>
      </c>
      <c r="C177" s="11">
        <f>SUM(D177:H177)</f>
        <v/>
      </c>
      <c r="D177" s="10" t="n">
        <v>0</v>
      </c>
      <c r="E177" s="10" t="n">
        <v>0</v>
      </c>
      <c r="F177" s="10" t="n">
        <v>0</v>
      </c>
      <c r="G177" s="10" t="n">
        <v>0</v>
      </c>
      <c r="H177" s="10" t="n">
        <v>1</v>
      </c>
      <c r="I177" s="10" t="inlineStr">
        <is>
          <t>YA HAY (bases) - revisar</t>
        </is>
      </c>
      <c r="J177" s="12" t="inlineStr">
        <is>
          <t>RUTAS ICARO - Construcciones (J-16/07): «Listones sobrantes»</t>
        </is>
      </c>
      <c r="K177" s="13" t="inlineStr"/>
      <c r="L177" s="13" t="inlineStr"/>
    </row>
    <row r="178">
      <c r="A178" s="2" t="inlineStr">
        <is>
          <t>Listones y tablas de madera</t>
        </is>
      </c>
      <c r="B178" s="3" t="inlineStr">
        <is>
          <t>Construccion/herramientas</t>
        </is>
      </c>
      <c r="C178" s="6">
        <f>SUM(D178:H178)</f>
        <v/>
      </c>
      <c r="D178" s="3" t="n">
        <v>4</v>
      </c>
      <c r="E178" s="3" t="n">
        <v>3</v>
      </c>
      <c r="F178" s="3" t="n">
        <v>0</v>
      </c>
      <c r="G178" s="3" t="n">
        <v>0</v>
      </c>
      <c r="H178" s="3" t="n">
        <v>0</v>
      </c>
      <c r="I178" s="3" t="inlineStr">
        <is>
          <t>YA HAY (bases) - revisar</t>
        </is>
      </c>
      <c r="J178" s="7" t="inlineStr">
        <is>
          <t>CASTORES - Montaje de tiendas (J-16/07 mañana): «Listones»
CASTORES - Montaje de tiendas (J-16/07 mañana): «Tablas de madera»
CASTORES - Construcciones zona común (V-17/07 mañana): «Listones»
CASTORES - Construcciones zona común (V-17/07 mañana): «Tablas de madera»
LOBATOS - Montaje (J-16/07 mañana): «Tablas»
LOBATOS - Montaje (J-16/07 mañana): «Listones»
LOBATOS - Construcción de parcela (J-16/07 tarde 1): «Listones»</t>
        </is>
      </c>
      <c r="K178" s="8" t="inlineStr"/>
      <c r="L178" s="8" t="inlineStr"/>
    </row>
    <row r="179">
      <c r="A179" s="9" t="inlineStr">
        <is>
          <t>Listón para potero</t>
        </is>
      </c>
      <c r="B179" s="10" t="inlineStr">
        <is>
          <t>Otros</t>
        </is>
      </c>
      <c r="C179" s="11">
        <f>SUM(D179:H179)</f>
        <v/>
      </c>
      <c r="D179" s="10" t="n">
        <v>0</v>
      </c>
      <c r="E179" s="10" t="n">
        <v>0</v>
      </c>
      <c r="F179" s="10" t="n">
        <v>1</v>
      </c>
      <c r="G179" s="10" t="n">
        <v>0</v>
      </c>
      <c r="H179" s="10" t="n">
        <v>0</v>
      </c>
      <c r="I179" s="10" t="inlineStr">
        <is>
          <t>YA HAY (bases) - revisar</t>
        </is>
      </c>
      <c r="J179" s="12" t="inlineStr">
        <is>
          <t>EXPLORADORES - Construcciones rústicas (J-16/07 mañana+tarde): «Listón para potero»</t>
        </is>
      </c>
      <c r="K179" s="13" t="inlineStr"/>
      <c r="L179" s="13" t="inlineStr"/>
    </row>
    <row r="180">
      <c r="A180" s="2" t="inlineStr">
        <is>
          <t>Lo que nos pidan</t>
        </is>
      </c>
      <c r="B180" s="3" t="inlineStr">
        <is>
          <t>Otros</t>
        </is>
      </c>
      <c r="C180" s="6">
        <f>SUM(D180:H180)</f>
        <v/>
      </c>
      <c r="D180" s="3" t="n">
        <v>0</v>
      </c>
      <c r="E180" s="3" t="n">
        <v>0</v>
      </c>
      <c r="F180" s="3" t="n">
        <v>0</v>
      </c>
      <c r="G180" s="3" t="n">
        <v>1</v>
      </c>
      <c r="H180" s="3" t="n">
        <v>0</v>
      </c>
      <c r="I180" s="3" t="inlineStr">
        <is>
          <t>YA HAY (bases) - revisar</t>
        </is>
      </c>
      <c r="J180" s="7" t="inlineStr">
        <is>
          <t>PIONEROS - Voluntariado con Lobatos (J-23/07 mañana): «Lo que nos pidan»</t>
        </is>
      </c>
      <c r="K180" s="8" t="inlineStr"/>
      <c r="L180" s="8" t="inlineStr"/>
    </row>
    <row r="181">
      <c r="A181" s="9" t="inlineStr">
        <is>
          <t>Lonas</t>
        </is>
      </c>
      <c r="B181" s="10" t="inlineStr">
        <is>
          <t>Construccion/herramientas</t>
        </is>
      </c>
      <c r="C181" s="11">
        <f>SUM(D181:H181)</f>
        <v/>
      </c>
      <c r="D181" s="10" t="n">
        <v>1</v>
      </c>
      <c r="E181" s="10" t="n">
        <v>4</v>
      </c>
      <c r="F181" s="10" t="n">
        <v>11</v>
      </c>
      <c r="G181" s="10" t="n">
        <v>0</v>
      </c>
      <c r="H181" s="10" t="n">
        <v>1</v>
      </c>
      <c r="I181" s="10" t="inlineStr">
        <is>
          <t>YA HAY (bases) - revisar</t>
        </is>
      </c>
      <c r="J181" s="12" t="inlineStr">
        <is>
          <t>CASTORES - Montaje de tiendas (J-16/07 mañana): «Lona + segunda estructura de tienda (mochilero)»
LOBATOS - Gymkana de agua (V-24/07 mañana): «Lona grande o plástico resistente»
LOBATOS - Clan Ícaro: brújula casera y potabilizar (V-24/07 tarde 1): «Lona»
LOBATOS - Olimpiadas tarde + vivacs (M-28/07 tarde-noche): «Lonas impermeables»
LOBATOS - GRUPAL: Gran Juego (S-18/07 mañana): «Papeles más pequeños o varias lonas grandes»
EXPLORADORES - Construcciones rústicas (J-16/07 mañana+tarde): «Estructura para mochilero con hierros y lonas»
EXPLORADORES - Velada de terror (X-22/07 noche): «10 lonas»
RUTAS ICARO - Técnicas scouts (brújula casera, potabilizar) (V-24/07): «Lona»</t>
        </is>
      </c>
      <c r="K181" s="13" t="inlineStr"/>
      <c r="L181" s="13" t="inlineStr"/>
    </row>
    <row r="182">
      <c r="A182" s="2" t="inlineStr">
        <is>
          <t>Lumi gas</t>
        </is>
      </c>
      <c r="B182" s="3" t="inlineStr">
        <is>
          <t>Otros</t>
        </is>
      </c>
      <c r="C182" s="6">
        <f>SUM(D182:H182)</f>
        <v/>
      </c>
      <c r="D182" s="3" t="n">
        <v>1</v>
      </c>
      <c r="E182" s="3" t="n">
        <v>1</v>
      </c>
      <c r="F182" s="3" t="n">
        <v>0</v>
      </c>
      <c r="G182" s="3" t="n">
        <v>0</v>
      </c>
      <c r="H182" s="3" t="n">
        <v>0</v>
      </c>
      <c r="I182" s="3" t="inlineStr">
        <is>
          <t>YA HAY (bases) - revisar</t>
        </is>
      </c>
      <c r="J182" s="7" t="inlineStr">
        <is>
          <t>CASTORES - Acampada volante (x3 días) (D-19 a M-21/07): «Lumi gas»
LOBATOS - Ruta volante (x3 días) (D-19 a M-21/07): «Lumi gas»</t>
        </is>
      </c>
      <c r="K182" s="8" t="inlineStr"/>
      <c r="L182" s="8" t="inlineStr"/>
    </row>
    <row r="183">
      <c r="A183" s="9" t="inlineStr">
        <is>
          <t>Lumis para el centro</t>
        </is>
      </c>
      <c r="B183" s="10" t="inlineStr">
        <is>
          <t>Otros</t>
        </is>
      </c>
      <c r="C183" s="11">
        <f>SUM(D183:H183)</f>
        <v/>
      </c>
      <c r="D183" s="10" t="n">
        <v>0</v>
      </c>
      <c r="E183" s="10" t="n">
        <v>0</v>
      </c>
      <c r="F183" s="10" t="n">
        <v>0</v>
      </c>
      <c r="G183" s="10" t="n">
        <v>1</v>
      </c>
      <c r="H183" s="10" t="n">
        <v>0</v>
      </c>
      <c r="I183" s="10" t="inlineStr">
        <is>
          <t>YA HAY (bases) - revisar</t>
        </is>
      </c>
      <c r="J183" s="12" t="inlineStr">
        <is>
          <t>PIONEROS - Velada final conjunta (X-29/07 noche): «Lumis para el centro»</t>
        </is>
      </c>
      <c r="K183" s="13" t="inlineStr"/>
      <c r="L183" s="13" t="inlineStr"/>
    </row>
    <row r="184">
      <c r="A184" s="2" t="inlineStr">
        <is>
          <t>Lápices de colores / ceras / pinturas de palo</t>
        </is>
      </c>
      <c r="B184" s="3" t="inlineStr">
        <is>
          <t>Papeleria/manualidades</t>
        </is>
      </c>
      <c r="C184" s="6">
        <f>SUM(D184:H184)</f>
        <v/>
      </c>
      <c r="D184" s="3" t="n">
        <v>0</v>
      </c>
      <c r="E184" s="3" t="n">
        <v>0</v>
      </c>
      <c r="F184" s="3" t="n">
        <v>0</v>
      </c>
      <c r="G184" s="3" t="n">
        <v>3</v>
      </c>
      <c r="H184" s="3" t="n">
        <v>0</v>
      </c>
      <c r="I184" s="3" t="inlineStr">
        <is>
          <t>COMPRAR</t>
        </is>
      </c>
      <c r="J184" s="7" t="inlineStr">
        <is>
          <t>PIONEROS - Fe (V-24/07 tarde 2): «Pinturas de palo»
PIONEROS - Evaluación + Miss y Mister + velada (X-29/07 tarde): «Pinturas de palo»
PIONEROS - Pintar mandalas (Lluvia): «Pinturas de palo»</t>
        </is>
      </c>
      <c r="K184" s="8" t="inlineStr"/>
      <c r="L184" s="8" t="inlineStr"/>
    </row>
    <row r="185">
      <c r="A185" s="9" t="inlineStr">
        <is>
          <t>Lápices de colores o ceras</t>
        </is>
      </c>
      <c r="B185" s="10" t="inlineStr">
        <is>
          <t>Otros</t>
        </is>
      </c>
      <c r="C185" s="11">
        <f>SUM(D185:H185)</f>
        <v/>
      </c>
      <c r="D185" s="10" t="n">
        <v>1</v>
      </c>
      <c r="E185" s="10" t="n">
        <v>0</v>
      </c>
      <c r="F185" s="10" t="n">
        <v>0</v>
      </c>
      <c r="G185" s="10" t="n">
        <v>0</v>
      </c>
      <c r="H185" s="10" t="n">
        <v>0</v>
      </c>
      <c r="I185" s="10" t="inlineStr">
        <is>
          <t>YA HAY (bases) - revisar</t>
        </is>
      </c>
      <c r="J185" s="12" t="inlineStr">
        <is>
          <t>CASTORES - Progresión Personal (mandalas) (J-23/07 tarde 1): «Lápices de colores o ceras»</t>
        </is>
      </c>
      <c r="K185" s="13" t="inlineStr"/>
      <c r="L185" s="13" t="inlineStr"/>
    </row>
    <row r="186">
      <c r="A186" s="2" t="inlineStr">
        <is>
          <t>Lápices y gomas</t>
        </is>
      </c>
      <c r="B186" s="3" t="inlineStr">
        <is>
          <t>Papeleria/manualidades</t>
        </is>
      </c>
      <c r="C186" s="6">
        <f>SUM(D186:H186)</f>
        <v/>
      </c>
      <c r="D186" s="3" t="n">
        <v>1</v>
      </c>
      <c r="E186" s="3" t="n">
        <v>0</v>
      </c>
      <c r="F186" s="3" t="n">
        <v>0</v>
      </c>
      <c r="G186" s="3" t="n">
        <v>0</v>
      </c>
      <c r="H186" s="3" t="n">
        <v>0</v>
      </c>
      <c r="I186" s="3" t="inlineStr">
        <is>
          <t>YA HAY (bases) - revisar</t>
        </is>
      </c>
      <c r="J186" s="7" t="inlineStr">
        <is>
          <t>CASTORES - Talleres pinza (Bolsa de juegos): «Lápices y gomas»</t>
        </is>
      </c>
      <c r="K186" s="8" t="inlineStr"/>
      <c r="L186" s="8" t="inlineStr"/>
    </row>
    <row r="187">
      <c r="A187" s="9" t="inlineStr">
        <is>
          <t>Maderas varias para parcela y FELSA</t>
        </is>
      </c>
      <c r="B187" s="10" t="inlineStr">
        <is>
          <t>Otros</t>
        </is>
      </c>
      <c r="C187" s="11">
        <f>SUM(D187:H187)</f>
        <v/>
      </c>
      <c r="D187" s="10" t="n">
        <v>0</v>
      </c>
      <c r="E187" s="10" t="n">
        <v>0</v>
      </c>
      <c r="F187" s="10" t="n">
        <v>1</v>
      </c>
      <c r="G187" s="10" t="n">
        <v>0</v>
      </c>
      <c r="H187" s="10" t="n">
        <v>0</v>
      </c>
      <c r="I187" s="10" t="inlineStr">
        <is>
          <t>YA HAY (bases) - revisar</t>
        </is>
      </c>
      <c r="J187" s="12" t="inlineStr">
        <is>
          <t>EXPLORADORES - Construcciones rústicas (J-16/07 mañana+tarde): «Maderas varias para parcela y FELSA»</t>
        </is>
      </c>
      <c r="K187" s="13" t="inlineStr"/>
      <c r="L187" s="13" t="inlineStr"/>
    </row>
    <row r="188">
      <c r="A188" s="2" t="inlineStr">
        <is>
          <t>Malla de alambre 1m x 30cm</t>
        </is>
      </c>
      <c r="B188" s="3" t="inlineStr">
        <is>
          <t>Construccion/herramientas</t>
        </is>
      </c>
      <c r="C188" s="6">
        <f>SUM(D188:H188)</f>
        <v/>
      </c>
      <c r="D188" s="3" t="n">
        <v>0</v>
      </c>
      <c r="E188" s="3" t="n">
        <v>1</v>
      </c>
      <c r="F188" s="3" t="n">
        <v>0</v>
      </c>
      <c r="G188" s="3" t="n">
        <v>0</v>
      </c>
      <c r="H188" s="3" t="n">
        <v>0</v>
      </c>
      <c r="I188" s="3" t="inlineStr">
        <is>
          <t>COMPRAR</t>
        </is>
      </c>
      <c r="J188" s="7" t="inlineStr">
        <is>
          <t>LOBATOS - Hotel de insectos (M-28/07 mañana): «Malla de alambre 1m x 30cm aprox (ref Temu en el doc)»</t>
        </is>
      </c>
      <c r="K188" s="8" t="inlineStr"/>
      <c r="L188" s="8" t="inlineStr"/>
    </row>
    <row r="189">
      <c r="A189" s="9" t="inlineStr">
        <is>
          <t>Mandalas (20)</t>
        </is>
      </c>
      <c r="B189" s="10" t="inlineStr">
        <is>
          <t>Otros</t>
        </is>
      </c>
      <c r="C189" s="11">
        <f>SUM(D189:H189)</f>
        <v/>
      </c>
      <c r="D189" s="10" t="n">
        <v>0</v>
      </c>
      <c r="E189" s="10" t="n">
        <v>1</v>
      </c>
      <c r="F189" s="10" t="n">
        <v>0</v>
      </c>
      <c r="G189" s="10" t="n">
        <v>0</v>
      </c>
      <c r="H189" s="10" t="n">
        <v>0</v>
      </c>
      <c r="I189" s="10" t="inlineStr">
        <is>
          <t>YA HAY (bases) - revisar</t>
        </is>
      </c>
      <c r="J189" s="12" t="inlineStr">
        <is>
          <t>LOBATOS - Bailes tradicionales indios + país (M-21/07 tarde 1): «Mandalas (20)»</t>
        </is>
      </c>
      <c r="K189" s="13" t="inlineStr"/>
      <c r="L189" s="13" t="inlineStr"/>
    </row>
    <row r="190">
      <c r="A190" s="2" t="inlineStr">
        <is>
          <t>Manojo de llaves</t>
        </is>
      </c>
      <c r="B190" s="3" t="inlineStr">
        <is>
          <t>Otros</t>
        </is>
      </c>
      <c r="C190" s="6">
        <f>SUM(D190:H190)</f>
        <v/>
      </c>
      <c r="D190" s="3" t="n">
        <v>0</v>
      </c>
      <c r="E190" s="3" t="n">
        <v>1</v>
      </c>
      <c r="F190" s="3" t="n">
        <v>0</v>
      </c>
      <c r="G190" s="3" t="n">
        <v>0</v>
      </c>
      <c r="H190" s="3" t="n">
        <v>0</v>
      </c>
      <c r="I190" s="3" t="inlineStr">
        <is>
          <t>YA HAY (bases) - revisar</t>
        </is>
      </c>
      <c r="J190" s="7" t="inlineStr">
        <is>
          <t>LOBATOS - GRUPAL: Velada inicial (J-16/07 noche): «Manojo de llaves»</t>
        </is>
      </c>
      <c r="K190" s="8" t="inlineStr"/>
      <c r="L190" s="8" t="inlineStr"/>
    </row>
    <row r="191">
      <c r="A191" s="9" t="inlineStr">
        <is>
          <t>Manojo de llaves o cascabel</t>
        </is>
      </c>
      <c r="B191" s="10" t="inlineStr">
        <is>
          <t>Otros</t>
        </is>
      </c>
      <c r="C191" s="11">
        <f>SUM(D191:H191)</f>
        <v/>
      </c>
      <c r="D191" s="10" t="n">
        <v>0</v>
      </c>
      <c r="E191" s="10" t="n">
        <v>0</v>
      </c>
      <c r="F191" s="10" t="n">
        <v>1</v>
      </c>
      <c r="G191" s="10" t="n">
        <v>0</v>
      </c>
      <c r="H191" s="10" t="n">
        <v>0</v>
      </c>
      <c r="I191" s="10" t="inlineStr">
        <is>
          <t>YA HAY (bases) - revisar</t>
        </is>
      </c>
      <c r="J191" s="12" t="inlineStr">
        <is>
          <t>EXPLORADORES - Guardián de las llaves / Pueblo duerme (Lluvia): «Manojo de llaves o cascabel»</t>
        </is>
      </c>
      <c r="K191" s="13" t="inlineStr"/>
      <c r="L191" s="13" t="inlineStr"/>
    </row>
    <row r="192">
      <c r="A192" s="2" t="inlineStr">
        <is>
          <t>Mantas</t>
        </is>
      </c>
      <c r="B192" s="3" t="inlineStr">
        <is>
          <t>Otros</t>
        </is>
      </c>
      <c r="C192" s="6">
        <f>SUM(D192:H192)</f>
        <v/>
      </c>
      <c r="D192" s="3" t="n">
        <v>0</v>
      </c>
      <c r="E192" s="3" t="n">
        <v>0</v>
      </c>
      <c r="F192" s="3" t="n">
        <v>0</v>
      </c>
      <c r="G192" s="3" t="n">
        <v>0</v>
      </c>
      <c r="H192" s="3" t="n">
        <v>2</v>
      </c>
      <c r="I192" s="3" t="inlineStr">
        <is>
          <t>YA HAY (bases) - revisar</t>
        </is>
      </c>
      <c r="J192" s="7" t="inlineStr">
        <is>
          <t>RUTAS PANDORA - PPV (velada) (V-24/07 noche): «Mantas»
RUTAS ICARO - OLIMPIADAS (grupal) (X-29/07 mañana): «Mantas»</t>
        </is>
      </c>
      <c r="K192" s="8" t="inlineStr"/>
      <c r="L192" s="8" t="inlineStr"/>
    </row>
    <row r="193">
      <c r="A193" s="9" t="inlineStr">
        <is>
          <t>Mapas de la zona y Brújulas</t>
        </is>
      </c>
      <c r="B193" s="10" t="inlineStr">
        <is>
          <t>Impresiones/documentacion</t>
        </is>
      </c>
      <c r="C193" s="11">
        <f>SUM(D193:H193)</f>
        <v/>
      </c>
      <c r="D193" s="10" t="n">
        <v>0</v>
      </c>
      <c r="E193" s="10" t="n">
        <v>7</v>
      </c>
      <c r="F193" s="10" t="n">
        <v>16</v>
      </c>
      <c r="G193" s="10" t="n">
        <v>7</v>
      </c>
      <c r="H193" s="10" t="n">
        <v>9</v>
      </c>
      <c r="I193" s="10" t="inlineStr">
        <is>
          <t>YA HAY (bases) - revisar</t>
        </is>
      </c>
      <c r="J193" s="12" t="inlineStr">
        <is>
          <t>LOBATOS - Ruta volante (x3 días) (D-19 a M-21/07): «Mapas 312-I, 315-II, 315-IV, 316-III»
LOBATOS - El amuleto del elefante sagrado (orientación) (X-22/07 tarde): «5 brújulas»
LOBATOS - Clan Ícaro: brújula casera y potabilizar (V-24/07 tarde 1): «Brújulas»
EXPLORADORES - Preparación de volantes (noche) (S-18/07 noche): «Mapas»
EXPLORADORES - Preparación de volantes (noche) (S-18/07 noche): «Brújula»
EXPLORADORES - Volante (x3 días) (D-19 a M-21/07): «Mapas»
EXPLORADORES - Volante (x3 días) (D-19 a M-21/07): «Brújulas»
EXPLORADORES - Preparación de raids (D-26/07 noche): «Mapas de la zona x6»
EXPLORADORES - Preparación de raids (D-26/07 noche): «Brújula x6»
PIONEROS - Preparación volantes (noche) (S-18/07 noche): «Mapas (poner números)»
PIONEROS - Volantes (x3 días) (D-19 a M-21/07): «Mapa hoja 316 21-13 Quintanar de la Sierra»
PIONEROS - Carrera de orientación (X-22/07 tarde): «Brújulas»
PIONEROS - Carrera de orientación (X-22/07 tarde): «Fotocopias mapa campa x4»
RUTAS PANDORA - Preparación acampada volante (S-18/07): «Mapas de la zona (pdte)»
RUTAS PANDORA - Acampada volante (x3 días) (D-19 a M-21/07): «Mapas de la zona 316I, 316III, 348I y 348III»
RUTAS PANDORA - Preparación raids (L-27/07): «Mapas de la zona (pdte)»
RUTAS PANDORA - Carrera de orientación (Reserva): «Mapa de la zona»
RUTAS PANDORA - Carrera de orientación (Reserva): «Brújulas»
RUTAS ICARO - Preparación volantes (S-18/07 noche): «Mapas de la zona 316I, 316III, 348I y 348III»
RUTAS ICARO - Volantes (x3 días) (D-19 a M-21/07): «Mapas de la zona 316I, 316III, 348I y 348III»
RUTAS ICARO - Técnicas scouts (brújula casera, potabilizar) (V-24/07): «Brújulas»
RUTAS ICARO - Preparación de raids (L-27/07): «Mapas»</t>
        </is>
      </c>
      <c r="K193" s="13" t="inlineStr"/>
      <c r="L193" s="13" t="inlineStr"/>
    </row>
    <row r="194">
      <c r="A194" s="2" t="inlineStr">
        <is>
          <t>Martillos</t>
        </is>
      </c>
      <c r="B194" s="3" t="inlineStr">
        <is>
          <t>Construccion/herramientas</t>
        </is>
      </c>
      <c r="C194" s="6">
        <f>SUM(D194:H194)</f>
        <v/>
      </c>
      <c r="D194" s="3" t="n">
        <v>0</v>
      </c>
      <c r="E194" s="3" t="n">
        <v>1</v>
      </c>
      <c r="F194" s="3" t="n">
        <v>0</v>
      </c>
      <c r="G194" s="3" t="n">
        <v>0</v>
      </c>
      <c r="H194" s="3" t="n">
        <v>0</v>
      </c>
      <c r="I194" s="3" t="inlineStr">
        <is>
          <t>YA HAY (bases) - revisar</t>
        </is>
      </c>
      <c r="J194" s="7" t="inlineStr">
        <is>
          <t>LOBATOS - Olimpiadas tarde + vivacs (M-28/07 tarde-noche): «Martillos o maza»</t>
        </is>
      </c>
      <c r="K194" s="8" t="inlineStr"/>
      <c r="L194" s="8" t="inlineStr"/>
    </row>
    <row r="195">
      <c r="A195" s="9" t="inlineStr">
        <is>
          <t>Material de juegos especiales (Jugger, frisbee, combas, sogatira)</t>
        </is>
      </c>
      <c r="B195" s="10" t="inlineStr">
        <is>
          <t>Juegos/deporte</t>
        </is>
      </c>
      <c r="C195" s="11">
        <f>SUM(D195:H195)</f>
        <v/>
      </c>
      <c r="D195" s="10" t="n">
        <v>0</v>
      </c>
      <c r="E195" s="10" t="n">
        <v>2</v>
      </c>
      <c r="F195" s="10" t="n">
        <v>4</v>
      </c>
      <c r="G195" s="10" t="n">
        <v>0</v>
      </c>
      <c r="H195" s="10" t="n">
        <v>4</v>
      </c>
      <c r="I195" s="10" t="inlineStr">
        <is>
          <t>YA HAY (bases) - revisar</t>
        </is>
      </c>
      <c r="J195" s="12" t="inlineStr">
        <is>
          <t>LOBATOS - De aventura en la India (V-17/07 tarde 2): «Comba»
LOBATOS - Actividad lobatos (Clan Ícaro - Charlie y David) (J-23/07 tarde 2): «Discos para lanzar»
EXPLORADORES - Actividad Clan Ícaro (Trivial) (X-22/07 tarde 1): «Frisbee»
EXPLORADORES - Jugger (X-22/07 tarde 2): «Escudos»
EXPLORADORES - Jugger (X-22/07 tarde 2): «Lanzas»
EXPLORADORES - Jugger (X-22/07 tarde 2): «Espadas»
RUTAS PANDORA - Jugger con el Ícaro (S-25/07 tarde): «Armas del jugger»
RUTAS ICARO - Actividad para Tropa: Trivial (X-22/07): «Frisbee»
RUTAS ICARO - Actividad para Lobatos (Charlie y David) (J-23/07): «Discos para lanzar»
RUTAS ICARO - Jugger con Pandora (S-25/07): «Armas de jugger»</t>
        </is>
      </c>
      <c r="K195" s="13" t="inlineStr"/>
      <c r="L195" s="13" t="inlineStr"/>
    </row>
    <row r="196">
      <c r="A196" s="2" t="inlineStr">
        <is>
          <t>Material dejado por la empresa</t>
        </is>
      </c>
      <c r="B196" s="3" t="inlineStr">
        <is>
          <t>Otros</t>
        </is>
      </c>
      <c r="C196" s="6">
        <f>SUM(D196:H196)</f>
        <v/>
      </c>
      <c r="D196" s="3" t="n">
        <v>0</v>
      </c>
      <c r="E196" s="3" t="n">
        <v>0</v>
      </c>
      <c r="F196" s="3" t="n">
        <v>0</v>
      </c>
      <c r="G196" s="3" t="n">
        <v>0</v>
      </c>
      <c r="H196" s="3" t="n">
        <v>1</v>
      </c>
      <c r="I196" s="3" t="inlineStr">
        <is>
          <t>YA HAY (bases) - revisar</t>
        </is>
      </c>
      <c r="J196" s="7" t="inlineStr">
        <is>
          <t>RUTAS PANDORA - Rapel (D-26/07): «Material dejado por la empresa»</t>
        </is>
      </c>
      <c r="K196" s="8" t="inlineStr"/>
      <c r="L196" s="8" t="inlineStr"/>
    </row>
    <row r="197">
      <c r="A197" s="9" t="inlineStr">
        <is>
          <t>Mazas / martillo de goma</t>
        </is>
      </c>
      <c r="B197" s="10" t="inlineStr">
        <is>
          <t>Construccion/herramientas</t>
        </is>
      </c>
      <c r="C197" s="11">
        <f>SUM(D197:H197)</f>
        <v/>
      </c>
      <c r="D197" s="10" t="n">
        <v>2</v>
      </c>
      <c r="E197" s="10" t="n">
        <v>2</v>
      </c>
      <c r="F197" s="10" t="n">
        <v>0</v>
      </c>
      <c r="G197" s="10" t="n">
        <v>0</v>
      </c>
      <c r="H197" s="10" t="n">
        <v>1</v>
      </c>
      <c r="I197" s="10" t="inlineStr">
        <is>
          <t>YA HAY (bases) - revisar</t>
        </is>
      </c>
      <c r="J197" s="12" t="inlineStr">
        <is>
          <t>CASTORES - Montaje de tiendas (J-16/07 mañana): «Martillo de goma»
CASTORES - Construcciones zona común (V-17/07 mañana): «Martillo de goma»
LOBATOS - Montaje (J-16/07 mañana): «Mazas»
LOBATOS - Construcción de parcela (J-16/07 tarde 1): «Mazas»
RUTAS ICARO - OLIMPIADAS (grupal) (X-29/07 mañana): «Martillo»</t>
        </is>
      </c>
      <c r="K197" s="13" t="inlineStr"/>
      <c r="L197" s="13" t="inlineStr"/>
    </row>
    <row r="198">
      <c r="A198" s="2" t="inlineStr">
        <is>
          <t>Mechero</t>
        </is>
      </c>
      <c r="B198" s="3" t="inlineStr">
        <is>
          <t>Otros</t>
        </is>
      </c>
      <c r="C198" s="6">
        <f>SUM(D198:H198)</f>
        <v/>
      </c>
      <c r="D198" s="3" t="n">
        <v>1</v>
      </c>
      <c r="E198" s="3" t="n">
        <v>2</v>
      </c>
      <c r="F198" s="3" t="n">
        <v>1</v>
      </c>
      <c r="G198" s="3" t="n">
        <v>2</v>
      </c>
      <c r="H198" s="3" t="n">
        <v>4</v>
      </c>
      <c r="I198" s="3" t="inlineStr">
        <is>
          <t>YA HAY (bases) - revisar</t>
        </is>
      </c>
      <c r="J198" s="7" t="inlineStr">
        <is>
          <t>CASTORES - Acampada volante (x3 días) (D-19 a M-21/07): «Mechero»
LOBATOS - Ruta volante (x3 días) (D-19 a M-21/07): «Mechero»
LOBATOS - Clan Ícaro: brújula casera y potabilizar (V-24/07 tarde 1): «Mechero»
EXPLORADORES - Taller de hornillo (S-18/07 tarde 1): «Mechero»
PIONEROS - Actividad Clan Ícaro - Drogas (S-18/07 tarde 1): «Mechero»
PIONEROS - Pulseras (Lluvia): «Mechero»
RUTAS PANDORA - Actividad de adicciones con pipis (J-16/07): «Mechero»
RUTAS ICARO - Taller para Pioneros - Drogas (S-18/07): «Mechero»
RUTAS ICARO - Técnicas scouts (brújula casera, potabilizar) (V-24/07): «Mechero»
RUTAS ICARO - OLIMPIADAS (grupal) (X-29/07 mañana): «Mechero»</t>
        </is>
      </c>
      <c r="K198" s="8" t="inlineStr"/>
      <c r="L198" s="8" t="inlineStr"/>
    </row>
    <row r="199">
      <c r="A199" s="9" t="inlineStr">
        <is>
          <t>Mechero/cerillas</t>
        </is>
      </c>
      <c r="B199" s="10" t="inlineStr">
        <is>
          <t>Otros</t>
        </is>
      </c>
      <c r="C199" s="11">
        <f>SUM(D199:H199)</f>
        <v/>
      </c>
      <c r="D199" s="10" t="n">
        <v>0</v>
      </c>
      <c r="E199" s="10" t="n">
        <v>0</v>
      </c>
      <c r="F199" s="10" t="n">
        <v>0</v>
      </c>
      <c r="G199" s="10" t="n">
        <v>0</v>
      </c>
      <c r="H199" s="10" t="n">
        <v>1</v>
      </c>
      <c r="I199" s="10" t="inlineStr">
        <is>
          <t>YA HAY (bases) - revisar</t>
        </is>
      </c>
      <c r="J199" s="12" t="inlineStr">
        <is>
          <t>RUTAS ICARO - Línea de la vida (Volante noche): «Mechero/cerillas»</t>
        </is>
      </c>
      <c r="K199" s="13" t="inlineStr"/>
      <c r="L199" s="13" t="inlineStr"/>
    </row>
    <row r="200">
      <c r="A200" s="2" t="inlineStr">
        <is>
          <t>Medallas de goma eva (las hace el kraalete)</t>
        </is>
      </c>
      <c r="B200" s="3" t="inlineStr">
        <is>
          <t>Otros</t>
        </is>
      </c>
      <c r="C200" s="6">
        <f>SUM(D200:H200)</f>
        <v/>
      </c>
      <c r="D200" s="3" t="n">
        <v>0</v>
      </c>
      <c r="E200" s="3" t="n">
        <v>0</v>
      </c>
      <c r="F200" s="3" t="n">
        <v>0</v>
      </c>
      <c r="G200" s="3" t="n">
        <v>1</v>
      </c>
      <c r="H200" s="3" t="n">
        <v>0</v>
      </c>
      <c r="I200" s="3" t="inlineStr">
        <is>
          <t>YA HAY (bases) - revisar</t>
        </is>
      </c>
      <c r="J200" s="7" t="inlineStr">
        <is>
          <t>PIONEROS - Gymkhana deportes (V-17/07 tarde): «Medallas de goma eva (las hace el kraalete)»</t>
        </is>
      </c>
      <c r="K200" s="8" t="inlineStr"/>
      <c r="L200" s="8" t="inlineStr"/>
    </row>
    <row r="201">
      <c r="A201" s="9" t="inlineStr">
        <is>
          <t>Menaje</t>
        </is>
      </c>
      <c r="B201" s="10" t="inlineStr">
        <is>
          <t>Otros</t>
        </is>
      </c>
      <c r="C201" s="11">
        <f>SUM(D201:H201)</f>
        <v/>
      </c>
      <c r="D201" s="10" t="n">
        <v>0</v>
      </c>
      <c r="E201" s="10" t="n">
        <v>0</v>
      </c>
      <c r="F201" s="10" t="n">
        <v>1</v>
      </c>
      <c r="G201" s="10" t="n">
        <v>0</v>
      </c>
      <c r="H201" s="10" t="n">
        <v>0</v>
      </c>
      <c r="I201" s="10" t="inlineStr">
        <is>
          <t>YA HAY (bases) - revisar</t>
        </is>
      </c>
      <c r="J201" s="12" t="inlineStr">
        <is>
          <t>EXPLORADORES - Volante (x3 días) (D-19 a M-21/07): «Menaje»</t>
        </is>
      </c>
      <c r="K201" s="13" t="inlineStr"/>
      <c r="L201" s="13" t="inlineStr"/>
    </row>
    <row r="202">
      <c r="A202" s="2" t="inlineStr">
        <is>
          <t>Menaje de cocina (sartenes, cazuelas, boles, hornillos, bombonas)</t>
        </is>
      </c>
      <c r="B202" s="3" t="inlineStr">
        <is>
          <t>Cocina/menaje</t>
        </is>
      </c>
      <c r="C202" s="6">
        <f>SUM(D202:H202)</f>
        <v/>
      </c>
      <c r="D202" s="3" t="n">
        <v>6</v>
      </c>
      <c r="E202" s="3" t="n">
        <v>102</v>
      </c>
      <c r="F202" s="3" t="n">
        <v>8</v>
      </c>
      <c r="G202" s="3" t="n">
        <v>2</v>
      </c>
      <c r="H202" s="3" t="n">
        <v>11</v>
      </c>
      <c r="I202" s="3" t="inlineStr">
        <is>
          <t>YA HAY (bases) - revisar</t>
        </is>
      </c>
      <c r="J202" s="7" t="inlineStr">
        <is>
          <t>CASTORES - Acampada volante (x3 días) (D-19 a M-21/07): «Cazuela y cuchara de madera»
CASTORES - Acampada volante (x3 días) (D-19 a M-21/07): «Bolsas de basura»
CASTORES - Entrenamiento Caza Gamusino (M-21/07 tarde 1): «Bolsas de basura»
CASTORES - Taller de tortitas (con Exploradores) (M-21/07 tarde 2): «Camping gas x4»
CASTORES - Taller de tortitas (con Exploradores) (M-21/07 tarde 2): «Sartén x4»
CASTORES - Taller de tortitas (con Exploradores) (M-21/07 tarde 2): «Bol grande x4»
CASTORES - Taller de tortitas (con Exploradores) (M-21/07 tarde 2): «Varillas de mano (o tenedores) x4»
CASTORES - Taller de tortitas (con Exploradores) (M-21/07 tarde 2): «Cazo para servir x4»
CASTORES - Taller de tortitas (con Exploradores) (M-21/07 tarde 2): «Espátula x4»
CASTORES - Diseño de camisetas (X-22/07 tarde 1): «Bolsas de plástico (en descripción, para reposar las camisetas)»
CASTORES - Actividad Clan Ícaro (X-22/07 tarde 2): «Papel y boli»
CASTORES - Taller de cocina - Nariyal Ladoo (J-23/07 mañana): «2-3 morteros (los que haya)»
CASTORES - Taller de cocina - Nariyal Ladoo (J-23/07 mañana): «2 hornillos»
CASTORES - Taller de cocina - Nariyal Ladoo (J-23/07 mañana): «2 cazuelas medianas»
CASTORES - Consejo de troncos (V-24/07 noche): «Lumi y bombona»
CASTORES - Taller de arcilla (S-25/07 tarde 1): «Bolsas de basura para tapar mesas»
CASTORES - Hacer mochilas para día de padres (S-25/07 tarde 2): «Bolsas de basura para ropa y cosas perdidas»
CASTORES - Taller de sobres y cartas (Bolsa de juegos): «Bolis (1 por niño)»
LOBATOS - Juegos India (V-17/07 mañana): «Una cazuela»
LOBATOS - Preparación mochila (S-18/07 tarde 2): «Bolsas de basura grande 1 x niño»
LOBATOS - Preparación mochila (S-18/07 tarde 2): «Bolsa de basura mediana 1 x niño»
LOBATOS - Ruta volante (x3 días) (D-19 a M-21/07): «Cazuela y cuchara de madera»
LOBATOS - Ruta volante (x3 días) (D-19 a M-21/07): «Bolsas de basura»
LOBATOS - ILLRA (L-20/07 tarde): «Gorra/Bolsa»
LOBATOS - Voluntariado conjunto Lobatos-Pioneros (J-23/07 mañana): «Bolsas de basura»
LOBATOS - Piscina pueblo (con Pioneros) (J-23/07 día): «Bolsa ropa mojada»
LOBATOS - Gymkana de agua (V-24/07 mañana): «Vasos de plástico 6»
LOBATOS - Gymkana de agua (V-24/07 mañana): «Cucharas de plástico»
LOBATOS - Clan Ícaro: brújula casera y potabilizar (V-24/07 tarde 1): «Camping gas»
LOBATOS - Sport &amp; Scouts (con Exploradores) (V-24/07 tarde 2): «2 balones de fútbol»
LOBATOS - Promesas + progresión personal (S-25/07 mañana): «Bolsas de seisenas»
LOBATOS - Taller de tortilla de patata (S-25/07 tarde 1): «4 sartenes grandes»
LOBATOS - Taller de tortilla de patata (S-25/07 tarde 1): «4 boles grandes»
LOBATOS - Taller de tortilla de patata (S-25/07 tarde 1): «6 cuchillos»
LOBATOS - Taller de tortilla de patata (S-25/07 tarde 1): «4 peladores de patatas»
LOBATOS - Taller de tortilla de patata (S-25/07 tarde 1): «4 tablas de cortar»
LOBATOS - Taller de tortilla de patata (S-25/07 tarde 1): «1 plato grande o tapa»
LOBATOS - Taller de tortilla de patata (S-25/07 tarde 1): «4 platos grandes»
LOBATOS - Taller de tortilla de patata (S-25/07 tarde 1): «4 tenedores»
LOBATOS - Taller de tortilla de patata (S-25/07 tarde 1): «Ingredientes (para 5 niños): 6 huevos, 4 patatas medianas, media cebolla, aceite de oliva y sal (calcular con nº de lobatos)»
LOBATOS - Poza (L-27/07 mañana): «Pelota de voleibol»
LOBATOS - Atrapasueños (L-27/07 tarde 1): «Platos de cartón blancos»
LOBATOS - Atrapasueños (L-27/07 tarde 1): «Estrellas, pegatinas, bolitas de lana, etc.»
LOBATOS - Picoteo al estilo lobato (L-27/07 tarde-noche): «Platos»
LOBATOS - Picoteo al estilo lobato (L-27/07 tarde-noche): «Bolsas grandes de gominolas con y sin azúcar»
LOBATOS - GRUPAL: Barracas - El Gran Bazar (D-26/07 tarde): «100 boletos lotería»
LOBATOS - GRUPAL: Barracas - El Gran Bazar (D-26/07 tarde): «Vaso de chupito»
EXPLORADORES - Preparación de volantes (S-18/07 tarde 2): «Bolsas de basura (para guardar ropa)»
EXPLORADORES - Actividad Clan Ícaro (Trivial) (X-22/07 tarde 1): «Poto»
EXPLORADORES - Velada con Pioneros: Estratego (J-23/07 noche): «Papel y boli»
EXPLORADORES - Masterchef pizza (V-24/07 mañana): «Cebolla»
EXPLORADORES - Sport &amp; Scouts (con Lobatos) (V-24/07 tarde 2): «2 balones de fútbol»
EXPLORADORES - Scape room (S-25/07 tarde 1): «Boli con tinta invisible (hay comprados)»
EXPLORADORES - Alimentación y buenos hábitos (S-25/07 tarde 2): «3 bolis»
EXPLORADORES - Guardián de las llaves / Pueblo duerme (Lluvia): «Periódico enrollado o churro de piscina»
PIONEROS - Voluntariado con Lobatos (J-23/07 mañana): «Bolsas basura»
PIONEROS - Taller pintar tote bags (J-23/07 tarde 2): «Vasos de plástico (mezclar/limpiar)»
PIONEROS - Taller pintar tote bags (J-23/07 tarde 2): «Un cartón por bolso»
PIONEROS - Taller de cocina (tarta de galletas) (V-24/07 mañana): «Hornillo o camping gas»
PIONEROS - Taller de cocina (tarta de galletas) (V-24/07 mañana): «Sartenes y ollas»
PIONEROS - Taller de cocina (tarta de galletas) (V-24/07 mañana): «Tablas de cortar»
PIONEROS - Taller de cocina (tarta de galletas) (V-24/07 mañana): «Cucharas, espátulas, boles»
PIONEROS - Raids (L-27 a M-28/07): «Bolsas basura»
RUTAS PANDORA - Acampada volante (x3 días) (D-19 a M-21/07): «Camping gas»
RUTAS PANDORA - Acampada volante (x3 días) (D-19 a M-21/07): «Cazuelas y cucharas de madera»
RUTAS PANDORA - Acampada volante (x3 días) (D-19 a M-21/07): «Limpieza (bolsas basura, fairy, estropajo)»
RUTAS PANDORA - Cocina con hándicaps (gyozas/empanadillas) (J-23/07): «Camping gas»
RUTAS PANDORA - Cocina con hándicaps (gyozas/empanadillas) (J-23/07): «Bandejas»
RUTAS PANDORA - Cocina con hándicaps (gyozas/empanadillas) (J-23/07): «1 cebolleta»
RUTAS PANDORA - Miss y Mister (llaveros) (X-29/07 tarde): «Pernos de argolla pequeñitos»
RUTAS ICARO - Actividad moverse (Charlie) (S-18/07): «Un boli»
RUTAS ICARO - Actividad para Tropa: Trivial (X-22/07): «Poto»
RUTAS ICARO - Actividad para Castores (X-22/07): «Papel y boli»
RUTAS ICARO - Voluntariado Manuela (J-23/07): «Bolsas de basura»
RUTAS ICARO - El cáncer de la dopamina (V-24/07): «Papel y bolis»
RUTAS ICARO - Técnicas scouts (brújula casera, potabilizar) (V-24/07): «Camping gas»
RUTAS ICARO - Raids (L-27 a M-28/07): «Bolsas de basura»
RUTAS ICARO - OLIMPIADAS (grupal) (X-29/07 mañana): «Potos/vasos»
RUTAS ICARO - OLIMPIADAS (grupal) (X-29/07 mañana): «Vaso de plástico»</t>
        </is>
      </c>
      <c r="K202" s="8" t="inlineStr"/>
      <c r="L202" s="8" t="inlineStr"/>
    </row>
    <row r="203">
      <c r="A203" s="9" t="inlineStr">
        <is>
          <t>Mini tronquitos</t>
        </is>
      </c>
      <c r="B203" s="10" t="inlineStr">
        <is>
          <t>Otros</t>
        </is>
      </c>
      <c r="C203" s="11">
        <f>SUM(D203:H203)</f>
        <v/>
      </c>
      <c r="D203" s="10" t="n">
        <v>0</v>
      </c>
      <c r="E203" s="10" t="n">
        <v>0</v>
      </c>
      <c r="F203" s="10" t="n">
        <v>0</v>
      </c>
      <c r="G203" s="10" t="n">
        <v>0</v>
      </c>
      <c r="H203" s="10" t="n">
        <v>1</v>
      </c>
      <c r="I203" s="10" t="inlineStr">
        <is>
          <t>YA HAY (bases) - revisar</t>
        </is>
      </c>
      <c r="J203" s="12" t="inlineStr">
        <is>
          <t>RUTAS PANDORA - PPV (velada) (V-24/07 noche): «Mini tronquitos»</t>
        </is>
      </c>
      <c r="K203" s="13" t="inlineStr"/>
      <c r="L203" s="13" t="inlineStr"/>
    </row>
    <row r="204">
      <c r="A204" s="2" t="inlineStr">
        <is>
          <t>Mismo material que la noche previa</t>
        </is>
      </c>
      <c r="B204" s="3" t="inlineStr">
        <is>
          <t>Otros</t>
        </is>
      </c>
      <c r="C204" s="6">
        <f>SUM(D204:H204)</f>
        <v/>
      </c>
      <c r="D204" s="3" t="n">
        <v>0</v>
      </c>
      <c r="E204" s="3" t="n">
        <v>0</v>
      </c>
      <c r="F204" s="3" t="n">
        <v>1</v>
      </c>
      <c r="G204" s="3" t="n">
        <v>0</v>
      </c>
      <c r="H204" s="3" t="n">
        <v>0</v>
      </c>
      <c r="I204" s="3" t="inlineStr">
        <is>
          <t>YA HAY (bases) - revisar</t>
        </is>
      </c>
      <c r="J204" s="7" t="inlineStr">
        <is>
          <t>EXPLORADORES - Raids (L-27/07): «Mismo material que la noche previa»</t>
        </is>
      </c>
      <c r="K204" s="8" t="inlineStr"/>
      <c r="L204" s="8" t="inlineStr"/>
    </row>
    <row r="205">
      <c r="A205" s="9" t="inlineStr">
        <is>
          <t>Miss y Mister grupales</t>
        </is>
      </c>
      <c r="B205" s="10" t="inlineStr">
        <is>
          <t>Otros</t>
        </is>
      </c>
      <c r="C205" s="11">
        <f>SUM(D205:H205)</f>
        <v/>
      </c>
      <c r="D205" s="10" t="n">
        <v>0</v>
      </c>
      <c r="E205" s="10" t="n">
        <v>0</v>
      </c>
      <c r="F205" s="10" t="n">
        <v>0</v>
      </c>
      <c r="G205" s="10" t="n">
        <v>1</v>
      </c>
      <c r="H205" s="10" t="n">
        <v>0</v>
      </c>
      <c r="I205" s="10" t="inlineStr">
        <is>
          <t>YA HAY (bases) - revisar</t>
        </is>
      </c>
      <c r="J205" s="12" t="inlineStr">
        <is>
          <t>PIONEROS - Velada final conjunta (X-29/07 noche): «Miss y Mister grupales»</t>
        </is>
      </c>
      <c r="K205" s="13" t="inlineStr"/>
      <c r="L205" s="13" t="inlineStr"/>
    </row>
    <row r="206">
      <c r="A206" s="2" t="inlineStr">
        <is>
          <t>Miss y Mister plastificados</t>
        </is>
      </c>
      <c r="B206" s="3" t="inlineStr">
        <is>
          <t>Otros</t>
        </is>
      </c>
      <c r="C206" s="6">
        <f>SUM(D206:H206)</f>
        <v/>
      </c>
      <c r="D206" s="3" t="n">
        <v>0</v>
      </c>
      <c r="E206" s="3" t="n">
        <v>0</v>
      </c>
      <c r="F206" s="3" t="n">
        <v>0</v>
      </c>
      <c r="G206" s="3" t="n">
        <v>1</v>
      </c>
      <c r="H206" s="3" t="n">
        <v>0</v>
      </c>
      <c r="I206" s="3" t="inlineStr">
        <is>
          <t>YA HAY (bases) - revisar</t>
        </is>
      </c>
      <c r="J206" s="7" t="inlineStr">
        <is>
          <t>PIONEROS - Evaluación + Miss y Mister + velada (X-29/07 tarde): «Miss y Mister plastificados»</t>
        </is>
      </c>
      <c r="K206" s="8" t="inlineStr"/>
      <c r="L206" s="8" t="inlineStr"/>
    </row>
    <row r="207">
      <c r="A207" s="9" t="inlineStr">
        <is>
          <t>Miss y Mister ya plastificados</t>
        </is>
      </c>
      <c r="B207" s="10" t="inlineStr">
        <is>
          <t>Otros</t>
        </is>
      </c>
      <c r="C207" s="11">
        <f>SUM(D207:H207)</f>
        <v/>
      </c>
      <c r="D207" s="10" t="n">
        <v>0</v>
      </c>
      <c r="E207" s="10" t="n">
        <v>0</v>
      </c>
      <c r="F207" s="10" t="n">
        <v>0</v>
      </c>
      <c r="G207" s="10" t="n">
        <v>1</v>
      </c>
      <c r="H207" s="10" t="n">
        <v>0</v>
      </c>
      <c r="I207" s="10" t="inlineStr">
        <is>
          <t>YA HAY (bases) - revisar</t>
        </is>
      </c>
      <c r="J207" s="12" t="inlineStr">
        <is>
          <t>PIONEROS - Miss y Mister (S-25/07 mañana): «Miss y Mister ya plastificados»</t>
        </is>
      </c>
      <c r="K207" s="13" t="inlineStr"/>
      <c r="L207" s="13" t="inlineStr"/>
    </row>
    <row r="208">
      <c r="A208" s="2" t="inlineStr">
        <is>
          <t>Monedas de céntimo</t>
        </is>
      </c>
      <c r="B208" s="3" t="inlineStr">
        <is>
          <t>Otros</t>
        </is>
      </c>
      <c r="C208" s="6">
        <f>SUM(D208:H208)</f>
        <v/>
      </c>
      <c r="D208" s="3" t="n">
        <v>0</v>
      </c>
      <c r="E208" s="3" t="n">
        <v>1</v>
      </c>
      <c r="F208" s="3" t="n">
        <v>0</v>
      </c>
      <c r="G208" s="3" t="n">
        <v>0</v>
      </c>
      <c r="H208" s="3" t="n">
        <v>0</v>
      </c>
      <c r="I208" s="3" t="inlineStr">
        <is>
          <t>YA HAY (bases) - revisar</t>
        </is>
      </c>
      <c r="J208" s="7" t="inlineStr">
        <is>
          <t>LOBATOS - GRUPAL: Barracas - El Gran Bazar (D-26/07 tarde): «Monedas de céntimo»</t>
        </is>
      </c>
      <c r="K208" s="8" t="inlineStr"/>
      <c r="L208" s="8" t="inlineStr"/>
    </row>
    <row r="209">
      <c r="A209" s="9" t="inlineStr">
        <is>
          <t>Máscaras (las del año pasado)</t>
        </is>
      </c>
      <c r="B209" s="10" t="inlineStr">
        <is>
          <t>Otros</t>
        </is>
      </c>
      <c r="C209" s="11">
        <f>SUM(D209:H209)</f>
        <v/>
      </c>
      <c r="D209" s="10" t="n">
        <v>0</v>
      </c>
      <c r="E209" s="10" t="n">
        <v>0</v>
      </c>
      <c r="F209" s="10" t="n">
        <v>1</v>
      </c>
      <c r="G209" s="10" t="n">
        <v>0</v>
      </c>
      <c r="H209" s="10" t="n">
        <v>0</v>
      </c>
      <c r="I209" s="10" t="inlineStr">
        <is>
          <t>YA HAY (bases) - revisar</t>
        </is>
      </c>
      <c r="J209" s="12" t="inlineStr">
        <is>
          <t>EXPLORADORES - Velada de terror (X-22/07 noche): «Máscaras (las del año pasado)»</t>
        </is>
      </c>
      <c r="K209" s="13" t="inlineStr"/>
      <c r="L209" s="13" t="inlineStr"/>
    </row>
    <row r="210">
      <c r="A210" s="2" t="inlineStr">
        <is>
          <t>Música india</t>
        </is>
      </c>
      <c r="B210" s="3" t="inlineStr">
        <is>
          <t>Otros</t>
        </is>
      </c>
      <c r="C210" s="6">
        <f>SUM(D210:H210)</f>
        <v/>
      </c>
      <c r="D210" s="3" t="n">
        <v>0</v>
      </c>
      <c r="E210" s="3" t="n">
        <v>1</v>
      </c>
      <c r="F210" s="3" t="n">
        <v>0</v>
      </c>
      <c r="G210" s="3" t="n">
        <v>0</v>
      </c>
      <c r="H210" s="3" t="n">
        <v>0</v>
      </c>
      <c r="I210" s="3" t="inlineStr">
        <is>
          <t>YA HAY (bases) - revisar</t>
        </is>
      </c>
      <c r="J210" s="7" t="inlineStr">
        <is>
          <t>LOBATOS - Bailes tradicionales indios + país (M-21/07 tarde 1): «Música india»</t>
        </is>
      </c>
      <c r="K210" s="8" t="inlineStr"/>
      <c r="L210" s="8" t="inlineStr"/>
    </row>
    <row r="211">
      <c r="A211" s="9" t="inlineStr">
        <is>
          <t>Naturaleza recolectada en campa y río</t>
        </is>
      </c>
      <c r="B211" s="10" t="inlineStr">
        <is>
          <t>Otros</t>
        </is>
      </c>
      <c r="C211" s="11">
        <f>SUM(D211:H211)</f>
        <v/>
      </c>
      <c r="D211" s="10" t="n">
        <v>0</v>
      </c>
      <c r="E211" s="10" t="n">
        <v>0</v>
      </c>
      <c r="F211" s="10" t="n">
        <v>0</v>
      </c>
      <c r="G211" s="10" t="n">
        <v>0</v>
      </c>
      <c r="H211" s="10" t="n">
        <v>1</v>
      </c>
      <c r="I211" s="10" t="inlineStr">
        <is>
          <t>YA HAY (bases) - revisar</t>
        </is>
      </c>
      <c r="J211" s="12" t="inlineStr">
        <is>
          <t>RUTAS PANDORA - Cambio climático y ecosistemas autosostenibles (S-25/07): «Naturaleza recolectada en campa y río»</t>
        </is>
      </c>
      <c r="K211" s="13" t="inlineStr"/>
      <c r="L211" s="13" t="inlineStr"/>
    </row>
    <row r="212">
      <c r="A212" s="2" t="inlineStr">
        <is>
          <t>Navaja</t>
        </is>
      </c>
      <c r="B212" s="3" t="inlineStr">
        <is>
          <t>Otros</t>
        </is>
      </c>
      <c r="C212" s="6">
        <f>SUM(D212:H212)</f>
        <v/>
      </c>
      <c r="D212" s="3" t="n">
        <v>0</v>
      </c>
      <c r="E212" s="3" t="n">
        <v>0</v>
      </c>
      <c r="F212" s="3" t="n">
        <v>1</v>
      </c>
      <c r="G212" s="3" t="n">
        <v>1</v>
      </c>
      <c r="H212" s="3" t="n">
        <v>1</v>
      </c>
      <c r="I212" s="3" t="inlineStr">
        <is>
          <t>YA HAY (bases) - revisar</t>
        </is>
      </c>
      <c r="J212" s="7" t="inlineStr">
        <is>
          <t>EXPLORADORES - Volante (x3 días) (D-19 a M-21/07): «Navaja»
PIONEROS - Volantes (x3 días) (D-19 a M-21/07): «Navaja»
RUTAS ICARO - Talleres personales (Charlie) (M-21/07): «Navaja»</t>
        </is>
      </c>
      <c r="K212" s="8" t="inlineStr"/>
      <c r="L212" s="8" t="inlineStr"/>
    </row>
    <row r="213">
      <c r="A213" s="9" t="inlineStr">
        <is>
          <t>Navajas (de los niños)</t>
        </is>
      </c>
      <c r="B213" s="10" t="inlineStr">
        <is>
          <t>Otros</t>
        </is>
      </c>
      <c r="C213" s="11">
        <f>SUM(D213:H213)</f>
        <v/>
      </c>
      <c r="D213" s="10" t="n">
        <v>0</v>
      </c>
      <c r="E213" s="10" t="n">
        <v>1</v>
      </c>
      <c r="F213" s="10" t="n">
        <v>0</v>
      </c>
      <c r="G213" s="10" t="n">
        <v>0</v>
      </c>
      <c r="H213" s="10" t="n">
        <v>0</v>
      </c>
      <c r="I213" s="10" t="inlineStr">
        <is>
          <t>YA HAY (bases) - revisar</t>
        </is>
      </c>
      <c r="J213" s="12" t="inlineStr">
        <is>
          <t>LOBATOS - Hotel de insectos (M-28/07 mañana): «Navajas (de los niños)»</t>
        </is>
      </c>
      <c r="K213" s="13" t="inlineStr"/>
      <c r="L213" s="13" t="inlineStr"/>
    </row>
    <row r="214">
      <c r="A214" s="2" t="inlineStr">
        <is>
          <t>Nombres</t>
        </is>
      </c>
      <c r="B214" s="3" t="inlineStr">
        <is>
          <t>Otros</t>
        </is>
      </c>
      <c r="C214" s="6">
        <f>SUM(D214:H214)</f>
        <v/>
      </c>
      <c r="D214" s="3" t="n">
        <v>0</v>
      </c>
      <c r="E214" s="3" t="n">
        <v>0</v>
      </c>
      <c r="F214" s="3" t="n">
        <v>1</v>
      </c>
      <c r="G214" s="3" t="n">
        <v>0</v>
      </c>
      <c r="H214" s="3" t="n">
        <v>0</v>
      </c>
      <c r="I214" s="3" t="inlineStr">
        <is>
          <t>YA HAY (bases) - revisar</t>
        </is>
      </c>
      <c r="J214" s="7" t="inlineStr">
        <is>
          <t>EXPLORADORES - FELSA (V-24/07 tarde 1): «Nombres»</t>
        </is>
      </c>
      <c r="K214" s="8" t="inlineStr"/>
      <c r="L214" s="8" t="inlineStr"/>
    </row>
    <row r="215">
      <c r="A215" s="9" t="inlineStr">
        <is>
          <t>Nombres de los niños</t>
        </is>
      </c>
      <c r="B215" s="10" t="inlineStr">
        <is>
          <t>Otros</t>
        </is>
      </c>
      <c r="C215" s="11">
        <f>SUM(D215:H215)</f>
        <v/>
      </c>
      <c r="D215" s="10" t="n">
        <v>0</v>
      </c>
      <c r="E215" s="10" t="n">
        <v>0</v>
      </c>
      <c r="F215" s="10" t="n">
        <v>1</v>
      </c>
      <c r="G215" s="10" t="n">
        <v>0</v>
      </c>
      <c r="H215" s="10" t="n">
        <v>0</v>
      </c>
      <c r="I215" s="10" t="inlineStr">
        <is>
          <t>YA HAY (bases) - revisar</t>
        </is>
      </c>
      <c r="J215" s="12" t="inlineStr">
        <is>
          <t>EXPLORADORES - Inauguración de la FELSA (V-17/07 tarde 2): «Nombres de los niños»</t>
        </is>
      </c>
      <c r="K215" s="13" t="inlineStr"/>
      <c r="L215" s="13" t="inlineStr"/>
    </row>
    <row r="216">
      <c r="A216" s="2" t="inlineStr">
        <is>
          <t>Objetos varios que se cojan de material</t>
        </is>
      </c>
      <c r="B216" s="3" t="inlineStr">
        <is>
          <t>Otros</t>
        </is>
      </c>
      <c r="C216" s="6">
        <f>SUM(D216:H216)</f>
        <v/>
      </c>
      <c r="D216" s="3" t="n">
        <v>0</v>
      </c>
      <c r="E216" s="3" t="n">
        <v>1</v>
      </c>
      <c r="F216" s="3" t="n">
        <v>0</v>
      </c>
      <c r="G216" s="3" t="n">
        <v>0</v>
      </c>
      <c r="H216" s="3" t="n">
        <v>0</v>
      </c>
      <c r="I216" s="3" t="inlineStr">
        <is>
          <t>YA HAY (bases) - revisar</t>
        </is>
      </c>
      <c r="J216" s="7" t="inlineStr">
        <is>
          <t>LOBATOS - Juegos nocturnos (V-17/07 noche): «Objetos varios que se cojan de material»</t>
        </is>
      </c>
      <c r="K216" s="8" t="inlineStr"/>
      <c r="L216" s="8" t="inlineStr"/>
    </row>
    <row r="217">
      <c r="A217" s="9" t="inlineStr">
        <is>
          <t>Ovillo de lana</t>
        </is>
      </c>
      <c r="B217" s="10" t="inlineStr">
        <is>
          <t>Papeleria/manualidades</t>
        </is>
      </c>
      <c r="C217" s="11">
        <f>SUM(D217:H217)</f>
        <v/>
      </c>
      <c r="D217" s="10" t="n">
        <v>0</v>
      </c>
      <c r="E217" s="10" t="n">
        <v>1</v>
      </c>
      <c r="F217" s="10" t="n">
        <v>0</v>
      </c>
      <c r="G217" s="10" t="n">
        <v>0</v>
      </c>
      <c r="H217" s="10" t="n">
        <v>1</v>
      </c>
      <c r="I217" s="10" t="inlineStr">
        <is>
          <t>COMPRAR</t>
        </is>
      </c>
      <c r="J217" s="12" t="inlineStr">
        <is>
          <t>LOBATOS - Tipi indio - Miss y Mister (X-29/07 tarde): «Un ovillo de lana»
RUTAS ICARO - Revisar olimpiadas + hacer premios (S-26/07): «Ovillo de lana»</t>
        </is>
      </c>
      <c r="K217" s="13" t="inlineStr"/>
      <c r="L217" s="13" t="inlineStr"/>
    </row>
    <row r="218">
      <c r="A218" s="2" t="inlineStr">
        <is>
          <t>Pajitas</t>
        </is>
      </c>
      <c r="B218" s="3" t="inlineStr">
        <is>
          <t>Papeleria/manualidades</t>
        </is>
      </c>
      <c r="C218" s="6">
        <f>SUM(D218:H218)</f>
        <v/>
      </c>
      <c r="D218" s="3" t="n">
        <v>1</v>
      </c>
      <c r="E218" s="3" t="n">
        <v>1</v>
      </c>
      <c r="F218" s="3" t="n">
        <v>0</v>
      </c>
      <c r="G218" s="3" t="n">
        <v>0</v>
      </c>
      <c r="H218" s="3" t="n">
        <v>0</v>
      </c>
      <c r="I218" s="3" t="inlineStr">
        <is>
          <t>COMPRAR</t>
        </is>
      </c>
      <c r="J218" s="7" t="inlineStr">
        <is>
          <t>CASTORES - Gran Juego: El Taj perdido (con Lobatos) (S-18/07 tarde 1): «Pajitas»
LOBATOS - El Taj perdido (con Castores) (S-18/07 tarde 1): «Pajitas»</t>
        </is>
      </c>
      <c r="K218" s="8" t="inlineStr"/>
      <c r="L218" s="8" t="inlineStr"/>
    </row>
    <row r="219">
      <c r="A219" s="9" t="inlineStr">
        <is>
          <t>Palas de ping pong y pelotitas</t>
        </is>
      </c>
      <c r="B219" s="10" t="inlineStr">
        <is>
          <t>Otros</t>
        </is>
      </c>
      <c r="C219" s="11">
        <f>SUM(D219:H219)</f>
        <v/>
      </c>
      <c r="D219" s="10" t="n">
        <v>0</v>
      </c>
      <c r="E219" s="10" t="n">
        <v>0</v>
      </c>
      <c r="F219" s="10" t="n">
        <v>0</v>
      </c>
      <c r="G219" s="10" t="n">
        <v>1</v>
      </c>
      <c r="H219" s="10" t="n">
        <v>0</v>
      </c>
      <c r="I219" s="10" t="inlineStr">
        <is>
          <t>YA HAY (bases) - revisar</t>
        </is>
      </c>
      <c r="J219" s="12" t="inlineStr">
        <is>
          <t>PIONEROS - Gymkhana deportes (V-17/07 tarde): «Palas de ping pong y pelotitas»</t>
        </is>
      </c>
      <c r="K219" s="13" t="inlineStr"/>
      <c r="L219" s="13" t="inlineStr"/>
    </row>
    <row r="220">
      <c r="A220" s="2" t="inlineStr">
        <is>
          <t>Palillos alargados tipo brocheta</t>
        </is>
      </c>
      <c r="B220" s="3" t="inlineStr">
        <is>
          <t>Otros</t>
        </is>
      </c>
      <c r="C220" s="6">
        <f>SUM(D220:H220)</f>
        <v/>
      </c>
      <c r="D220" s="3" t="n">
        <v>0</v>
      </c>
      <c r="E220" s="3" t="n">
        <v>0</v>
      </c>
      <c r="F220" s="3" t="n">
        <v>0</v>
      </c>
      <c r="G220" s="3" t="n">
        <v>1</v>
      </c>
      <c r="H220" s="3" t="n">
        <v>0</v>
      </c>
      <c r="I220" s="3" t="inlineStr">
        <is>
          <t>YA HAY (bases) - revisar</t>
        </is>
      </c>
      <c r="J220" s="7" t="inlineStr">
        <is>
          <t>PIONEROS - Taller de tejer (Lluvia): «Palillos alargados tipo brocheta»</t>
        </is>
      </c>
      <c r="K220" s="8" t="inlineStr"/>
      <c r="L220" s="8" t="inlineStr"/>
    </row>
    <row r="221">
      <c r="A221" s="9" t="inlineStr">
        <is>
          <t>Palillos de madera largos (brocheta)</t>
        </is>
      </c>
      <c r="B221" s="10" t="inlineStr">
        <is>
          <t>Papeleria/manualidades</t>
        </is>
      </c>
      <c r="C221" s="11">
        <f>SUM(D221:H221)</f>
        <v/>
      </c>
      <c r="D221" s="10" t="n">
        <v>0</v>
      </c>
      <c r="E221" s="10" t="n">
        <v>1</v>
      </c>
      <c r="F221" s="10" t="n">
        <v>0</v>
      </c>
      <c r="G221" s="10" t="n">
        <v>0</v>
      </c>
      <c r="H221" s="10" t="n">
        <v>0</v>
      </c>
      <c r="I221" s="10" t="inlineStr">
        <is>
          <t>COMPRAR</t>
        </is>
      </c>
      <c r="J221" s="12" t="inlineStr">
        <is>
          <t>LOBATOS - Tipi indio - Miss y Mister (X-29/07 tarde): «Palillos de madera largos»</t>
        </is>
      </c>
      <c r="K221" s="13" t="inlineStr"/>
      <c r="L221" s="13" t="inlineStr"/>
    </row>
    <row r="222">
      <c r="A222" s="2" t="inlineStr">
        <is>
          <t>Palillos largos (bases)</t>
        </is>
      </c>
      <c r="B222" s="3" t="inlineStr">
        <is>
          <t>Otros</t>
        </is>
      </c>
      <c r="C222" s="6">
        <f>SUM(D222:H222)</f>
        <v/>
      </c>
      <c r="D222" s="3" t="n">
        <v>1</v>
      </c>
      <c r="E222" s="3" t="n">
        <v>0</v>
      </c>
      <c r="F222" s="3" t="n">
        <v>0</v>
      </c>
      <c r="G222" s="3" t="n">
        <v>0</v>
      </c>
      <c r="H222" s="3" t="n">
        <v>0</v>
      </c>
      <c r="I222" s="3" t="inlineStr">
        <is>
          <t>YA HAY (bases) - revisar</t>
        </is>
      </c>
      <c r="J222" s="7" t="inlineStr">
        <is>
          <t>CASTORES - Actividad de agua: El descenso del Ganges (V-24/07 mañana): «Palillos largos (bases)»</t>
        </is>
      </c>
      <c r="K222" s="8" t="inlineStr"/>
      <c r="L222" s="8" t="inlineStr"/>
    </row>
    <row r="223">
      <c r="A223" s="9" t="inlineStr">
        <is>
          <t>Palitos luminosos x3</t>
        </is>
      </c>
      <c r="B223" s="10" t="inlineStr">
        <is>
          <t>Otros</t>
        </is>
      </c>
      <c r="C223" s="11">
        <f>SUM(D223:H223)</f>
        <v/>
      </c>
      <c r="D223" s="10" t="n">
        <v>3</v>
      </c>
      <c r="E223" s="10" t="n">
        <v>0</v>
      </c>
      <c r="F223" s="10" t="n">
        <v>0</v>
      </c>
      <c r="G223" s="10" t="n">
        <v>0</v>
      </c>
      <c r="H223" s="10" t="n">
        <v>0</v>
      </c>
      <c r="I223" s="10" t="inlineStr">
        <is>
          <t>YA HAY (bases) - revisar</t>
        </is>
      </c>
      <c r="J223" s="12" t="inlineStr">
        <is>
          <t>CASTORES - Entrenamiento Caza Gamusino (M-21/07 tarde 1): «Palitos luminosos x3»</t>
        </is>
      </c>
      <c r="K223" s="13" t="inlineStr"/>
      <c r="L223" s="13" t="inlineStr"/>
    </row>
    <row r="224">
      <c r="A224" s="2" t="inlineStr">
        <is>
          <t>Palo de escoba</t>
        </is>
      </c>
      <c r="B224" s="3" t="inlineStr">
        <is>
          <t>Otros</t>
        </is>
      </c>
      <c r="C224" s="6">
        <f>SUM(D224:H224)</f>
        <v/>
      </c>
      <c r="D224" s="3" t="n">
        <v>0</v>
      </c>
      <c r="E224" s="3" t="n">
        <v>1</v>
      </c>
      <c r="F224" s="3" t="n">
        <v>0</v>
      </c>
      <c r="G224" s="3" t="n">
        <v>0</v>
      </c>
      <c r="H224" s="3" t="n">
        <v>0</v>
      </c>
      <c r="I224" s="3" t="inlineStr">
        <is>
          <t>YA HAY (bases) - revisar</t>
        </is>
      </c>
      <c r="J224" s="7" t="inlineStr">
        <is>
          <t>LOBATOS - Lobatolimpiadas (S-25/07 tarde 2): «Palo de escoba»</t>
        </is>
      </c>
      <c r="K224" s="8" t="inlineStr"/>
      <c r="L224" s="8" t="inlineStr"/>
    </row>
    <row r="225">
      <c r="A225" s="9" t="inlineStr">
        <is>
          <t>Papel albal</t>
        </is>
      </c>
      <c r="B225" s="10" t="inlineStr">
        <is>
          <t>Papeleria/manualidades</t>
        </is>
      </c>
      <c r="C225" s="11">
        <f>SUM(D225:H225)</f>
        <v/>
      </c>
      <c r="D225" s="10" t="n">
        <v>0</v>
      </c>
      <c r="E225" s="10" t="n">
        <v>1</v>
      </c>
      <c r="F225" s="10" t="n">
        <v>0</v>
      </c>
      <c r="G225" s="10" t="n">
        <v>0</v>
      </c>
      <c r="H225" s="10" t="n">
        <v>0</v>
      </c>
      <c r="I225" s="10" t="inlineStr">
        <is>
          <t>COMPRAR</t>
        </is>
      </c>
      <c r="J225" s="12" t="inlineStr">
        <is>
          <t>LOBATOS - Territorios (V-17/07 tarde 1): «Papel albal»</t>
        </is>
      </c>
      <c r="K225" s="13" t="inlineStr"/>
      <c r="L225" s="13" t="inlineStr"/>
    </row>
    <row r="226">
      <c r="A226" s="2" t="inlineStr">
        <is>
          <t>Papel continuo</t>
        </is>
      </c>
      <c r="B226" s="3" t="inlineStr">
        <is>
          <t>Papeleria/manualidades</t>
        </is>
      </c>
      <c r="C226" s="6">
        <f>SUM(D226:H226)</f>
        <v/>
      </c>
      <c r="D226" s="3" t="n">
        <v>3</v>
      </c>
      <c r="E226" s="3" t="n">
        <v>5</v>
      </c>
      <c r="F226" s="3" t="n">
        <v>0</v>
      </c>
      <c r="G226" s="3" t="n">
        <v>3</v>
      </c>
      <c r="H226" s="3" t="n">
        <v>7</v>
      </c>
      <c r="I226" s="3" t="inlineStr">
        <is>
          <t>COMPRAR</t>
        </is>
      </c>
      <c r="J226" s="7" t="inlineStr">
        <is>
          <t>CASTORES - Normas de campamento + juegos (J-16/07 tarde 2): «Papel continuo 1m x 1m»
CASTORES - Gran Juego: El Taj perdido (con Lobatos) (S-18/07 tarde 1): «Papel continuo 1x1»
CASTORES - Hacer mochilas acampada volante (S-18/07 tarde 2): «Papel continuo»
LOBATOS - El Taj perdido (con Castores) (S-18/07 tarde 1): «Papel continuo 1x1»
LOBATOS - Preparación mochila (S-18/07 tarde 2): «Papel continuo»
LOBATOS - Clan Ícaro: brújula casera y potabilizar (V-24/07 tarde 1): «Papel»
LOBATOS - Lobatolimpiadas mentales (S-25/07 noche): «Papel»
LOBATOS - Taller sexualidad: línea del tiempo (M-28/07 tarde 1): «Papel continuo»
PIONEROS - Actividad Clan Ícaro - Drogas (S-18/07 tarde 1): «Papel»
PIONEROS - Velada autopercepción (V-24/07 noche): «Un trozo de papel continuo»
PIONEROS - Sexualidad (S-25/07 tarde 1): «Papel continuo»
RUTAS PANDORA - Actividad de adicciones con pipis (J-16/07): «Papel»
RUTAS PANDORA - Debates con roles (J-23/07 noche): «Papel»
RUTAS PANDORA - Velada de reflexión con el Ícaro (S-25/07 noche): «Papel»
RUTAS ICARO - Taller para Pioneros - Drogas (S-18/07): «Papel»
RUTAS ICARO - Actividad moverse (Charlie) (S-18/07): «Papel»
RUTAS ICARO - ¿Por qué la rutina nos provoca estrés? (V-24/07): «Papel»
RUTAS ICARO - Técnicas scouts (brújula casera, potabilizar) (V-24/07): «Papel»</t>
        </is>
      </c>
      <c r="K226" s="8" t="inlineStr"/>
      <c r="L226" s="8" t="inlineStr"/>
    </row>
    <row r="227">
      <c r="A227" s="9" t="inlineStr">
        <is>
          <t>Papel crepé verde, rojo y amarillo</t>
        </is>
      </c>
      <c r="B227" s="10" t="inlineStr">
        <is>
          <t>Papeleria/manualidades</t>
        </is>
      </c>
      <c r="C227" s="11">
        <f>SUM(D227:H227)</f>
        <v/>
      </c>
      <c r="D227" s="10" t="n">
        <v>0</v>
      </c>
      <c r="E227" s="10" t="n">
        <v>1</v>
      </c>
      <c r="F227" s="10" t="n">
        <v>0</v>
      </c>
      <c r="G227" s="10" t="n">
        <v>0</v>
      </c>
      <c r="H227" s="10" t="n">
        <v>0</v>
      </c>
      <c r="I227" s="10" t="inlineStr">
        <is>
          <t>COMPRAR</t>
        </is>
      </c>
      <c r="J227" s="12" t="inlineStr">
        <is>
          <t>LOBATOS - Evaluación (X-29/07 tarde 2): «Papel crepé verde, rojo y amarillo»</t>
        </is>
      </c>
      <c r="K227" s="13" t="inlineStr"/>
      <c r="L227" s="13" t="inlineStr"/>
    </row>
    <row r="228">
      <c r="A228" s="2" t="inlineStr">
        <is>
          <t>Papel de aluminio (albal)</t>
        </is>
      </c>
      <c r="B228" s="3" t="inlineStr">
        <is>
          <t>Papeleria/manualidades</t>
        </is>
      </c>
      <c r="C228" s="6">
        <f>SUM(D228:H228)</f>
        <v/>
      </c>
      <c r="D228" s="3" t="n">
        <v>0</v>
      </c>
      <c r="E228" s="3" t="n">
        <v>0</v>
      </c>
      <c r="F228" s="3" t="n">
        <v>1</v>
      </c>
      <c r="G228" s="3" t="n">
        <v>1</v>
      </c>
      <c r="H228" s="3" t="n">
        <v>1</v>
      </c>
      <c r="I228" s="3" t="inlineStr">
        <is>
          <t>COMPRAR</t>
        </is>
      </c>
      <c r="J228" s="7" t="inlineStr">
        <is>
          <t>EXPLORADORES - Preparación de volantes (noche) (S-18/07 noche): «Lumi»
PIONEROS - Preparación volantes (noche) (S-18/07 noche): «Lumis»
PIONEROS - Taller de cocina (tarta de galletas) (V-24/07 mañana): «Papel de aluminio»
RUTAS ICARO - Preparación de raids (L-27/07): «Lumis»</t>
        </is>
      </c>
      <c r="K228" s="8" t="inlineStr"/>
      <c r="L228" s="8" t="inlineStr"/>
    </row>
    <row r="229">
      <c r="A229" s="9" t="inlineStr">
        <is>
          <t>Papel de cocina</t>
        </is>
      </c>
      <c r="B229" s="10" t="inlineStr">
        <is>
          <t>Papeleria/manualidades</t>
        </is>
      </c>
      <c r="C229" s="11">
        <f>SUM(D229:H229)</f>
        <v/>
      </c>
      <c r="D229" s="10" t="n">
        <v>0</v>
      </c>
      <c r="E229" s="10" t="n">
        <v>1</v>
      </c>
      <c r="F229" s="10" t="n">
        <v>0</v>
      </c>
      <c r="G229" s="10" t="n">
        <v>0</v>
      </c>
      <c r="H229" s="10" t="n">
        <v>1</v>
      </c>
      <c r="I229" s="10" t="inlineStr">
        <is>
          <t>COMPRAR</t>
        </is>
      </c>
      <c r="J229" s="12" t="inlineStr">
        <is>
          <t>LOBATOS - Taller de tortilla de patata (S-25/07 tarde 1): «Papel de cocina»
RUTAS PANDORA - Cambio climático y ecosistemas autosostenibles (S-25/07): «Papel de cocina»</t>
        </is>
      </c>
      <c r="K229" s="13" t="inlineStr"/>
      <c r="L229" s="13" t="inlineStr"/>
    </row>
    <row r="230">
      <c r="A230" s="2" t="inlineStr">
        <is>
          <t>Papel film</t>
        </is>
      </c>
      <c r="B230" s="3" t="inlineStr">
        <is>
          <t>Papeleria/manualidades</t>
        </is>
      </c>
      <c r="C230" s="6">
        <f>SUM(D230:H230)</f>
        <v/>
      </c>
      <c r="D230" s="3" t="n">
        <v>0</v>
      </c>
      <c r="E230" s="3" t="n">
        <v>0</v>
      </c>
      <c r="F230" s="3" t="n">
        <v>0</v>
      </c>
      <c r="G230" s="3" t="n">
        <v>0</v>
      </c>
      <c r="H230" s="3" t="n">
        <v>1</v>
      </c>
      <c r="I230" s="3" t="inlineStr">
        <is>
          <t>COMPRAR</t>
        </is>
      </c>
      <c r="J230" s="7" t="inlineStr">
        <is>
          <t>RUTAS PANDORA - Cocina con hándicaps (gyozas/empanadillas) (J-23/07): «Papel film»</t>
        </is>
      </c>
      <c r="K230" s="8" t="inlineStr"/>
      <c r="L230" s="8" t="inlineStr"/>
    </row>
    <row r="231">
      <c r="A231" s="9" t="inlineStr">
        <is>
          <t>Papel higiénico y de cocina</t>
        </is>
      </c>
      <c r="B231" s="10" t="inlineStr">
        <is>
          <t>Higiene/limpieza</t>
        </is>
      </c>
      <c r="C231" s="11">
        <f>SUM(D231:H231)</f>
        <v/>
      </c>
      <c r="D231" s="10" t="n">
        <v>0</v>
      </c>
      <c r="E231" s="10" t="n">
        <v>1</v>
      </c>
      <c r="F231" s="10" t="n">
        <v>0</v>
      </c>
      <c r="G231" s="10" t="n">
        <v>1</v>
      </c>
      <c r="H231" s="10" t="n">
        <v>1</v>
      </c>
      <c r="I231" s="10" t="inlineStr">
        <is>
          <t>COMPRAR</t>
        </is>
      </c>
      <c r="J231" s="12" t="inlineStr">
        <is>
          <t>LOBATOS - Ruta volante (x3 días) (D-19 a M-21/07): «Papel higiénico»
PIONEROS - Raids (L-27 a M-28/07): «Papel higiénico»
RUTAS ICARO - Raids (L-27 a M-28/07): «Papel higiénico»</t>
        </is>
      </c>
      <c r="K231" s="13" t="inlineStr"/>
      <c r="L231" s="13" t="inlineStr"/>
    </row>
    <row r="232">
      <c r="A232" s="2" t="inlineStr">
        <is>
          <t>Papel plastificado (lo lleva la comisión)</t>
        </is>
      </c>
      <c r="B232" s="3" t="inlineStr">
        <is>
          <t>Papeleria/manualidades</t>
        </is>
      </c>
      <c r="C232" s="6">
        <f>SUM(D232:H232)</f>
        <v/>
      </c>
      <c r="D232" s="3" t="n">
        <v>1</v>
      </c>
      <c r="E232" s="3" t="n">
        <v>0</v>
      </c>
      <c r="F232" s="3" t="n">
        <v>0</v>
      </c>
      <c r="G232" s="3" t="n">
        <v>0</v>
      </c>
      <c r="H232" s="3" t="n">
        <v>0</v>
      </c>
      <c r="I232" s="3" t="inlineStr">
        <is>
          <t>COMPRAR</t>
        </is>
      </c>
      <c r="J232" s="7" t="inlineStr">
        <is>
          <t>CASTORES - T.E.G.A. (Torneo de Globos) (V-17/07 tarde 2): «Papel plastificado (lo lleva la comisión)»</t>
        </is>
      </c>
      <c r="K232" s="8" t="inlineStr"/>
      <c r="L232" s="8" t="inlineStr"/>
    </row>
    <row r="233">
      <c r="A233" s="9" t="inlineStr">
        <is>
          <t>Papel seda de colores</t>
        </is>
      </c>
      <c r="B233" s="10" t="inlineStr">
        <is>
          <t>Papeleria/manualidades</t>
        </is>
      </c>
      <c r="C233" s="11">
        <f>SUM(D233:H233)</f>
        <v/>
      </c>
      <c r="D233" s="10" t="n">
        <v>1</v>
      </c>
      <c r="E233" s="10" t="n">
        <v>1</v>
      </c>
      <c r="F233" s="10" t="n">
        <v>0</v>
      </c>
      <c r="G233" s="10" t="n">
        <v>0</v>
      </c>
      <c r="H233" s="10" t="n">
        <v>0</v>
      </c>
      <c r="I233" s="10" t="inlineStr">
        <is>
          <t>COMPRAR</t>
        </is>
      </c>
      <c r="J233" s="12" t="inlineStr">
        <is>
          <t>CASTORES - Gran Juego: El Taj perdido (con Lobatos) (S-18/07 tarde 1): «Papel seda de colores»
LOBATOS - El Taj perdido (con Castores) (S-18/07 tarde 1): «Papel seda de colores»</t>
        </is>
      </c>
      <c r="K233" s="13" t="inlineStr"/>
      <c r="L233" s="13" t="inlineStr"/>
    </row>
    <row r="234">
      <c r="A234" s="2" t="inlineStr">
        <is>
          <t>Papeles</t>
        </is>
      </c>
      <c r="B234" s="3" t="inlineStr">
        <is>
          <t>Papeleria/manualidades</t>
        </is>
      </c>
      <c r="C234" s="6">
        <f>SUM(D234:H234)</f>
        <v/>
      </c>
      <c r="D234" s="3" t="n">
        <v>0</v>
      </c>
      <c r="E234" s="3" t="n">
        <v>0</v>
      </c>
      <c r="F234" s="3" t="n">
        <v>0</v>
      </c>
      <c r="G234" s="3" t="n">
        <v>0</v>
      </c>
      <c r="H234" s="3" t="n">
        <v>1</v>
      </c>
      <c r="I234" s="3" t="inlineStr">
        <is>
          <t>COMPRAR</t>
        </is>
      </c>
      <c r="J234" s="7" t="inlineStr">
        <is>
          <t>RUTAS PANDORA - Stalking con el Clan Ícaro (D-26/07 noche): «Papeles»</t>
        </is>
      </c>
      <c r="K234" s="8" t="inlineStr"/>
      <c r="L234" s="8" t="inlineStr"/>
    </row>
    <row r="235">
      <c r="A235" s="9" t="inlineStr">
        <is>
          <t>Papeles raid sorteo</t>
        </is>
      </c>
      <c r="B235" s="10" t="inlineStr">
        <is>
          <t>Papeleria/manualidades</t>
        </is>
      </c>
      <c r="C235" s="11">
        <f>SUM(D235:H235)</f>
        <v/>
      </c>
      <c r="D235" s="10" t="n">
        <v>0</v>
      </c>
      <c r="E235" s="10" t="n">
        <v>0</v>
      </c>
      <c r="F235" s="10" t="n">
        <v>0</v>
      </c>
      <c r="G235" s="10" t="n">
        <v>1</v>
      </c>
      <c r="H235" s="10" t="n">
        <v>0</v>
      </c>
      <c r="I235" s="10" t="inlineStr">
        <is>
          <t>COMPRAR</t>
        </is>
      </c>
      <c r="J235" s="12" t="inlineStr">
        <is>
          <t>PIONEROS - Preparación raids (D-26/07 noche): «Papeles raid sorteo»</t>
        </is>
      </c>
      <c r="K235" s="13" t="inlineStr"/>
      <c r="L235" s="13" t="inlineStr"/>
    </row>
    <row r="236">
      <c r="A236" s="2" t="inlineStr">
        <is>
          <t>Papelitos dinámica</t>
        </is>
      </c>
      <c r="B236" s="3" t="inlineStr">
        <is>
          <t>Papeleria/manualidades</t>
        </is>
      </c>
      <c r="C236" s="6">
        <f>SUM(D236:H236)</f>
        <v/>
      </c>
      <c r="D236" s="3" t="n">
        <v>0</v>
      </c>
      <c r="E236" s="3" t="n">
        <v>0</v>
      </c>
      <c r="F236" s="3" t="n">
        <v>0</v>
      </c>
      <c r="G236" s="3" t="n">
        <v>0</v>
      </c>
      <c r="H236" s="3" t="n">
        <v>1</v>
      </c>
      <c r="I236" s="3" t="inlineStr">
        <is>
          <t>COMPRAR</t>
        </is>
      </c>
      <c r="J236" s="7" t="inlineStr">
        <is>
          <t>RUTAS ICARO - PPV (Vali) (V-17/07): «Papelitos dinámica»</t>
        </is>
      </c>
      <c r="K236" s="8" t="inlineStr"/>
      <c r="L236" s="8" t="inlineStr"/>
    </row>
    <row r="237">
      <c r="A237" s="9" t="inlineStr">
        <is>
          <t>Pasta moldeable de secado al aire: carne, rosa, azul, rojo, amarillo, blanco, negro</t>
        </is>
      </c>
      <c r="B237" s="10" t="inlineStr">
        <is>
          <t>Otros</t>
        </is>
      </c>
      <c r="C237" s="11">
        <f>SUM(D237:H237)</f>
        <v/>
      </c>
      <c r="D237" s="10" t="n">
        <v>0</v>
      </c>
      <c r="E237" s="10" t="n">
        <v>0</v>
      </c>
      <c r="F237" s="10" t="n">
        <v>0</v>
      </c>
      <c r="G237" s="10" t="n">
        <v>0</v>
      </c>
      <c r="H237" s="10" t="n">
        <v>1</v>
      </c>
      <c r="I237" s="10" t="inlineStr">
        <is>
          <t>YA HAY (bases) - revisar</t>
        </is>
      </c>
      <c r="J237" s="12" t="inlineStr">
        <is>
          <t>RUTAS PANDORA - Miss y Mister (llaveros) (X-29/07 tarde): «Pasta moldeable de secado al aire: carne, rosa, azul, rojo, amarillo, blanco, negro»</t>
        </is>
      </c>
      <c r="K237" s="13" t="inlineStr"/>
      <c r="L237" s="13" t="inlineStr"/>
    </row>
    <row r="238">
      <c r="A238" s="2" t="inlineStr">
        <is>
          <t>Pañoleta</t>
        </is>
      </c>
      <c r="B238" s="3" t="inlineStr">
        <is>
          <t>Otros</t>
        </is>
      </c>
      <c r="C238" s="6">
        <f>SUM(D238:H238)</f>
        <v/>
      </c>
      <c r="D238" s="3" t="n">
        <v>0</v>
      </c>
      <c r="E238" s="3" t="n">
        <v>1</v>
      </c>
      <c r="F238" s="3" t="n">
        <v>0</v>
      </c>
      <c r="G238" s="3" t="n">
        <v>0</v>
      </c>
      <c r="H238" s="3" t="n">
        <v>0</v>
      </c>
      <c r="I238" s="3" t="inlineStr">
        <is>
          <t>YA HAY (bases) - revisar</t>
        </is>
      </c>
      <c r="J238" s="7" t="inlineStr">
        <is>
          <t>LOBATOS - De aventura en la India (V-17/07 tarde 2): «Pañoleta»</t>
        </is>
      </c>
      <c r="K238" s="8" t="inlineStr"/>
      <c r="L238" s="8" t="inlineStr"/>
    </row>
    <row r="239">
      <c r="A239" s="9" t="inlineStr">
        <is>
          <t>Pañoleta con tochos</t>
        </is>
      </c>
      <c r="B239" s="10" t="inlineStr">
        <is>
          <t>Otros</t>
        </is>
      </c>
      <c r="C239" s="11">
        <f>SUM(D239:H239)</f>
        <v/>
      </c>
      <c r="D239" s="10" t="n">
        <v>0</v>
      </c>
      <c r="E239" s="10" t="n">
        <v>1</v>
      </c>
      <c r="F239" s="10" t="n">
        <v>0</v>
      </c>
      <c r="G239" s="10" t="n">
        <v>0</v>
      </c>
      <c r="H239" s="10" t="n">
        <v>1</v>
      </c>
      <c r="I239" s="10" t="inlineStr">
        <is>
          <t>YA HAY (bases) - revisar</t>
        </is>
      </c>
      <c r="J239" s="12" t="inlineStr">
        <is>
          <t>LOBATOS - Clan Ícaro: brújula casera y potabilizar (V-24/07 tarde 1): «Pañoleta con tochos»
RUTAS ICARO - Técnicas scouts (brújula casera, potabilizar) (V-24/07): «Pañoleta con tochos»</t>
        </is>
      </c>
      <c r="K239" s="13" t="inlineStr"/>
      <c r="L239" s="13" t="inlineStr"/>
    </row>
    <row r="240">
      <c r="A240" s="2" t="inlineStr">
        <is>
          <t>Pañoletas</t>
        </is>
      </c>
      <c r="B240" s="3" t="inlineStr">
        <is>
          <t>Otros</t>
        </is>
      </c>
      <c r="C240" s="6">
        <f>SUM(D240:H240)</f>
        <v/>
      </c>
      <c r="D240" s="3" t="n">
        <v>1</v>
      </c>
      <c r="E240" s="3" t="n">
        <v>1</v>
      </c>
      <c r="F240" s="3" t="n">
        <v>0</v>
      </c>
      <c r="G240" s="3" t="n">
        <v>0</v>
      </c>
      <c r="H240" s="3" t="n">
        <v>0</v>
      </c>
      <c r="I240" s="3" t="inlineStr">
        <is>
          <t>YA HAY (bases) - revisar</t>
        </is>
      </c>
      <c r="J240" s="7" t="inlineStr">
        <is>
          <t>CASTORES - Juegos nocturnos (stalking) (S-25/07 noche): «Pañoletas»
LOBATOS - Juegos (J-16/07 tarde 2): «Pañoletas»</t>
        </is>
      </c>
      <c r="K240" s="8" t="inlineStr"/>
      <c r="L240" s="8" t="inlineStr"/>
    </row>
    <row r="241">
      <c r="A241" s="9" t="inlineStr">
        <is>
          <t>Pegamento / cola blanca</t>
        </is>
      </c>
      <c r="B241" s="10" t="inlineStr">
        <is>
          <t>Papeleria/manualidades</t>
        </is>
      </c>
      <c r="C241" s="11">
        <f>SUM(D241:H241)</f>
        <v/>
      </c>
      <c r="D241" s="10" t="n">
        <v>1</v>
      </c>
      <c r="E241" s="10" t="n">
        <v>1</v>
      </c>
      <c r="F241" s="10" t="n">
        <v>0</v>
      </c>
      <c r="G241" s="10" t="n">
        <v>2</v>
      </c>
      <c r="H241" s="10" t="n">
        <v>0</v>
      </c>
      <c r="I241" s="10" t="inlineStr">
        <is>
          <t>COMPRAR</t>
        </is>
      </c>
      <c r="J241" s="12" t="inlineStr">
        <is>
          <t>CASTORES - Taller insignias (V-17/07 tarde): «Pegamentos»
LOBATOS - Taller sexualidad: línea del tiempo (M-28/07 tarde 1): «Pegamento»
PIONEROS - Taller puzzle móvil (Lluvia): «Pegamento»
PIONEROS - Cuenco serpentina (Lluvia): «Cola blanca»</t>
        </is>
      </c>
      <c r="K241" s="13" t="inlineStr"/>
      <c r="L241" s="13" t="inlineStr"/>
    </row>
    <row r="242">
      <c r="A242" s="2" t="inlineStr">
        <is>
          <t>Pegamento de goma eva</t>
        </is>
      </c>
      <c r="B242" s="3" t="inlineStr">
        <is>
          <t>Papeleria/manualidades</t>
        </is>
      </c>
      <c r="C242" s="6">
        <f>SUM(D242:H242)</f>
        <v/>
      </c>
      <c r="D242" s="3" t="n">
        <v>1</v>
      </c>
      <c r="E242" s="3" t="n">
        <v>0</v>
      </c>
      <c r="F242" s="3" t="n">
        <v>0</v>
      </c>
      <c r="G242" s="3" t="n">
        <v>0</v>
      </c>
      <c r="H242" s="3" t="n">
        <v>0</v>
      </c>
      <c r="I242" s="3" t="inlineStr">
        <is>
          <t>COMPRAR</t>
        </is>
      </c>
      <c r="J242" s="7" t="inlineStr">
        <is>
          <t>CASTORES - Talleres pinza (Bolsa de juegos): «Pegamento de goma eva»</t>
        </is>
      </c>
      <c r="K242" s="8" t="inlineStr"/>
      <c r="L242" s="8" t="inlineStr"/>
    </row>
    <row r="243">
      <c r="A243" s="9" t="inlineStr">
        <is>
          <t>Perforadora</t>
        </is>
      </c>
      <c r="B243" s="10" t="inlineStr">
        <is>
          <t>Papeleria/manualidades</t>
        </is>
      </c>
      <c r="C243" s="11">
        <f>SUM(D243:H243)</f>
        <v/>
      </c>
      <c r="D243" s="10" t="n">
        <v>0</v>
      </c>
      <c r="E243" s="10" t="n">
        <v>0</v>
      </c>
      <c r="F243" s="10" t="n">
        <v>0</v>
      </c>
      <c r="G243" s="10" t="n">
        <v>1</v>
      </c>
      <c r="H243" s="10" t="n">
        <v>0</v>
      </c>
      <c r="I243" s="10" t="inlineStr">
        <is>
          <t>YA HAY (bases) - revisar</t>
        </is>
      </c>
      <c r="J243" s="12" t="inlineStr">
        <is>
          <t>PIONEROS - Miss y Mister (S-25/07 mañana): «Perforadora»</t>
        </is>
      </c>
      <c r="K243" s="13" t="inlineStr"/>
      <c r="L243" s="13" t="inlineStr"/>
    </row>
    <row r="244">
      <c r="A244" s="2" t="inlineStr">
        <is>
          <t>Periódicos y revistas</t>
        </is>
      </c>
      <c r="B244" s="3" t="inlineStr">
        <is>
          <t>Papeleria/manualidades</t>
        </is>
      </c>
      <c r="C244" s="6">
        <f>SUM(D244:H244)</f>
        <v/>
      </c>
      <c r="D244" s="3" t="n">
        <v>0</v>
      </c>
      <c r="E244" s="3" t="n">
        <v>0</v>
      </c>
      <c r="F244" s="3" t="n">
        <v>0</v>
      </c>
      <c r="G244" s="3" t="n">
        <v>0</v>
      </c>
      <c r="H244" s="3" t="n">
        <v>2</v>
      </c>
      <c r="I244" s="3" t="inlineStr">
        <is>
          <t>UNIDAD/COMISION</t>
        </is>
      </c>
      <c r="J244" s="7" t="inlineStr">
        <is>
          <t>RUTAS ICARO - Velada Vision Board (V-17/07 noche): «Periódicos y revistas (un par de cada)»</t>
        </is>
      </c>
      <c r="K244" s="8" t="inlineStr"/>
      <c r="L244" s="8" t="inlineStr"/>
    </row>
    <row r="245">
      <c r="A245" s="9" t="inlineStr">
        <is>
          <t>Permanentes finos negros</t>
        </is>
      </c>
      <c r="B245" s="10" t="inlineStr">
        <is>
          <t>Otros</t>
        </is>
      </c>
      <c r="C245" s="11">
        <f>SUM(D245:H245)</f>
        <v/>
      </c>
      <c r="D245" s="10" t="n">
        <v>0</v>
      </c>
      <c r="E245" s="10" t="n">
        <v>0</v>
      </c>
      <c r="F245" s="10" t="n">
        <v>0</v>
      </c>
      <c r="G245" s="10" t="n">
        <v>0</v>
      </c>
      <c r="H245" s="10" t="n">
        <v>1</v>
      </c>
      <c r="I245" s="10" t="inlineStr">
        <is>
          <t>YA HAY (bases) - revisar</t>
        </is>
      </c>
      <c r="J245" s="12" t="inlineStr">
        <is>
          <t>RUTAS PANDORA - PPV (velada) (V-24/07 noche): «Permanentes finos negros»</t>
        </is>
      </c>
      <c r="K245" s="13" t="inlineStr"/>
      <c r="L245" s="13" t="inlineStr"/>
    </row>
    <row r="246">
      <c r="A246" s="2" t="inlineStr">
        <is>
          <t>Picas</t>
        </is>
      </c>
      <c r="B246" s="3" t="inlineStr">
        <is>
          <t>Construccion/herramientas</t>
        </is>
      </c>
      <c r="C246" s="6">
        <f>SUM(D246:H246)</f>
        <v/>
      </c>
      <c r="D246" s="3" t="n">
        <v>0</v>
      </c>
      <c r="E246" s="3" t="n">
        <v>1</v>
      </c>
      <c r="F246" s="3" t="n">
        <v>0</v>
      </c>
      <c r="G246" s="3" t="n">
        <v>0</v>
      </c>
      <c r="H246" s="3" t="n">
        <v>1</v>
      </c>
      <c r="I246" s="3" t="inlineStr">
        <is>
          <t>YA HAY (bases) - revisar</t>
        </is>
      </c>
      <c r="J246" s="7" t="inlineStr">
        <is>
          <t>LOBATOS - Olimpiadas tarde + vivacs (M-28/07 tarde-noche): «Picas»
RUTAS PANDORA - Cambio climático y ecosistemas autosostenibles (S-25/07): «Pala o pica para excavar»</t>
        </is>
      </c>
      <c r="K246" s="8" t="inlineStr"/>
      <c r="L246" s="8" t="inlineStr"/>
    </row>
    <row r="247">
      <c r="A247" s="9" t="inlineStr">
        <is>
          <t>Piedras (de la campa)</t>
        </is>
      </c>
      <c r="B247" s="10" t="inlineStr">
        <is>
          <t>Otros</t>
        </is>
      </c>
      <c r="C247" s="11">
        <f>SUM(D247:H247)</f>
        <v/>
      </c>
      <c r="D247" s="10" t="n">
        <v>0</v>
      </c>
      <c r="E247" s="10" t="n">
        <v>1</v>
      </c>
      <c r="F247" s="10" t="n">
        <v>0</v>
      </c>
      <c r="G247" s="10" t="n">
        <v>0</v>
      </c>
      <c r="H247" s="10" t="n">
        <v>0</v>
      </c>
      <c r="I247" s="10" t="inlineStr">
        <is>
          <t>YA HAY (bases) - revisar</t>
        </is>
      </c>
      <c r="J247" s="12" t="inlineStr">
        <is>
          <t>LOBATOS - Juegos India (V-17/07 mañana): «Piedras (de la campa)»</t>
        </is>
      </c>
      <c r="K247" s="13" t="inlineStr"/>
      <c r="L247" s="13" t="inlineStr"/>
    </row>
    <row r="248">
      <c r="A248" s="2" t="inlineStr">
        <is>
          <t>Piezas de metal de las bases que encajan</t>
        </is>
      </c>
      <c r="B248" s="3" t="inlineStr">
        <is>
          <t>Otros</t>
        </is>
      </c>
      <c r="C248" s="6">
        <f>SUM(D248:H248)</f>
        <v/>
      </c>
      <c r="D248" s="3" t="n">
        <v>0</v>
      </c>
      <c r="E248" s="3" t="n">
        <v>1</v>
      </c>
      <c r="F248" s="3" t="n">
        <v>0</v>
      </c>
      <c r="G248" s="3" t="n">
        <v>0</v>
      </c>
      <c r="H248" s="3" t="n">
        <v>0</v>
      </c>
      <c r="I248" s="3" t="inlineStr">
        <is>
          <t>YA HAY (bases) - revisar</t>
        </is>
      </c>
      <c r="J248" s="7" t="inlineStr">
        <is>
          <t>LOBATOS - Lobatolimpiadas mentales (S-25/07 noche): «Piezas de metal de las bases que encajan»</t>
        </is>
      </c>
      <c r="K248" s="8" t="inlineStr"/>
      <c r="L248" s="8" t="inlineStr"/>
    </row>
    <row r="249">
      <c r="A249" s="9" t="inlineStr">
        <is>
          <t>Pinceles</t>
        </is>
      </c>
      <c r="B249" s="10" t="inlineStr">
        <is>
          <t>Papeleria/manualidades</t>
        </is>
      </c>
      <c r="C249" s="11">
        <f>SUM(D249:H249)</f>
        <v/>
      </c>
      <c r="D249" s="10" t="n">
        <v>2</v>
      </c>
      <c r="E249" s="10" t="n">
        <v>1</v>
      </c>
      <c r="F249" s="10" t="n">
        <v>5</v>
      </c>
      <c r="G249" s="10" t="n">
        <v>1</v>
      </c>
      <c r="H249" s="10" t="n">
        <v>0</v>
      </c>
      <c r="I249" s="10" t="inlineStr">
        <is>
          <t>COMPRAR</t>
        </is>
      </c>
      <c r="J249" s="12" t="inlineStr">
        <is>
          <t>CASTORES - Gran Juego: El Taj perdido (con Lobatos) (S-18/07 tarde 1): «Pinceles»
CASTORES - Taller de arcilla (S-25/07 tarde 1): «Pinceles»
LOBATOS - El Taj perdido (con Castores) (S-18/07 tarde 1): «Pinceles»
EXPLORADORES - Velada de código morse (V-17/07 noche): «5 objetos 'tesoro': 2 mazas, 2 telas/objetos amarillos, 2 pinceles, 2 botellines o latas»
PIONEROS - Taller pintar tote bags (J-23/07 tarde 2): «Pinceles de varios tamaños»</t>
        </is>
      </c>
      <c r="K249" s="13" t="inlineStr"/>
      <c r="L249" s="13" t="inlineStr"/>
    </row>
    <row r="250">
      <c r="A250" s="2" t="inlineStr">
        <is>
          <t>Pintura acrílica</t>
        </is>
      </c>
      <c r="B250" s="3" t="inlineStr">
        <is>
          <t>Papeleria/manualidades</t>
        </is>
      </c>
      <c r="C250" s="6">
        <f>SUM(D250:H250)</f>
        <v/>
      </c>
      <c r="D250" s="3" t="n">
        <v>0</v>
      </c>
      <c r="E250" s="3" t="n">
        <v>1</v>
      </c>
      <c r="F250" s="3" t="n">
        <v>0</v>
      </c>
      <c r="G250" s="3" t="n">
        <v>0</v>
      </c>
      <c r="H250" s="3" t="n">
        <v>0</v>
      </c>
      <c r="I250" s="3" t="inlineStr">
        <is>
          <t>COMPRAR</t>
        </is>
      </c>
      <c r="J250" s="7" t="inlineStr">
        <is>
          <t>LOBATOS - Lobatolimpiadas (S-25/07 tarde 2): «Pintura acrílica»</t>
        </is>
      </c>
      <c r="K250" s="8" t="inlineStr"/>
      <c r="L250" s="8" t="inlineStr"/>
    </row>
    <row r="251">
      <c r="A251" s="9" t="inlineStr">
        <is>
          <t>Pintura de manos negra</t>
        </is>
      </c>
      <c r="B251" s="10" t="inlineStr">
        <is>
          <t>Papeleria/manualidades</t>
        </is>
      </c>
      <c r="C251" s="11">
        <f>SUM(D251:H251)</f>
        <v/>
      </c>
      <c r="D251" s="10" t="n">
        <v>1</v>
      </c>
      <c r="E251" s="10" t="n">
        <v>0</v>
      </c>
      <c r="F251" s="10" t="n">
        <v>0</v>
      </c>
      <c r="G251" s="10" t="n">
        <v>0</v>
      </c>
      <c r="H251" s="10" t="n">
        <v>0</v>
      </c>
      <c r="I251" s="10" t="inlineStr">
        <is>
          <t>COMPRAR</t>
        </is>
      </c>
      <c r="J251" s="12" t="inlineStr">
        <is>
          <t>CASTORES - Lluvia: Carteles con letras chinas (Lluvia): «Pintura de manos negra»</t>
        </is>
      </c>
      <c r="K251" s="13" t="inlineStr"/>
      <c r="L251" s="13" t="inlineStr"/>
    </row>
    <row r="252">
      <c r="A252" s="2" t="inlineStr">
        <is>
          <t>Pintura para telas</t>
        </is>
      </c>
      <c r="B252" s="3" t="inlineStr">
        <is>
          <t>Papeleria/manualidades</t>
        </is>
      </c>
      <c r="C252" s="6">
        <f>SUM(D252:H252)</f>
        <v/>
      </c>
      <c r="D252" s="3" t="n">
        <v>1</v>
      </c>
      <c r="E252" s="3" t="n">
        <v>0</v>
      </c>
      <c r="F252" s="3" t="n">
        <v>0</v>
      </c>
      <c r="G252" s="3" t="n">
        <v>1</v>
      </c>
      <c r="H252" s="3" t="n">
        <v>0</v>
      </c>
      <c r="I252" s="3" t="inlineStr">
        <is>
          <t>COMPRAR</t>
        </is>
      </c>
      <c r="J252" s="7" t="inlineStr">
        <is>
          <t>CASTORES - Diseño de camisetas (X-22/07 tarde 1): «Pintura para telas»
PIONEROS - Taller pintar tote bags (J-23/07 tarde 2): «Pinturas acrílicas (o pintura para tela) de colores»</t>
        </is>
      </c>
      <c r="K252" s="8" t="inlineStr"/>
      <c r="L252" s="8" t="inlineStr"/>
    </row>
    <row r="253">
      <c r="A253" s="9" t="inlineStr">
        <is>
          <t>Pinturas blancas</t>
        </is>
      </c>
      <c r="B253" s="10" t="inlineStr">
        <is>
          <t>Papeleria/manualidades</t>
        </is>
      </c>
      <c r="C253" s="11">
        <f>SUM(D253:H253)</f>
        <v/>
      </c>
      <c r="D253" s="10" t="n">
        <v>0</v>
      </c>
      <c r="E253" s="10" t="n">
        <v>15</v>
      </c>
      <c r="F253" s="10" t="n">
        <v>0</v>
      </c>
      <c r="G253" s="10" t="n">
        <v>0</v>
      </c>
      <c r="H253" s="10" t="n">
        <v>0</v>
      </c>
      <c r="I253" s="10" t="inlineStr">
        <is>
          <t>COMPRAR</t>
        </is>
      </c>
      <c r="J253" s="12" t="inlineStr">
        <is>
          <t>LOBATOS - Taller de estrellas (X-22/07 noche): «15 pinturas blancas»</t>
        </is>
      </c>
      <c r="K253" s="13" t="inlineStr"/>
      <c r="L253" s="13" t="inlineStr"/>
    </row>
    <row r="254">
      <c r="A254" s="2" t="inlineStr">
        <is>
          <t>Pinturas de cara / maquillaje</t>
        </is>
      </c>
      <c r="B254" s="3" t="inlineStr">
        <is>
          <t>Papeleria/manualidades</t>
        </is>
      </c>
      <c r="C254" s="6">
        <f>SUM(D254:H254)</f>
        <v/>
      </c>
      <c r="D254" s="3" t="n">
        <v>1</v>
      </c>
      <c r="E254" s="3" t="n">
        <v>0</v>
      </c>
      <c r="F254" s="3" t="n">
        <v>0</v>
      </c>
      <c r="G254" s="3" t="n">
        <v>0</v>
      </c>
      <c r="H254" s="3" t="n">
        <v>0</v>
      </c>
      <c r="I254" s="3" t="inlineStr">
        <is>
          <t>COMPRAR</t>
        </is>
      </c>
      <c r="J254" s="7" t="inlineStr">
        <is>
          <t>CASTORES - Entrenamiento Caza Gamusino (M-21/07 tarde 1): «Pinturas de cara»</t>
        </is>
      </c>
      <c r="K254" s="8" t="inlineStr"/>
      <c r="L254" s="8" t="inlineStr"/>
    </row>
    <row r="255">
      <c r="A255" s="9" t="inlineStr">
        <is>
          <t>Pinturas o rotuladores</t>
        </is>
      </c>
      <c r="B255" s="10" t="inlineStr">
        <is>
          <t>Papeleria/manualidades</t>
        </is>
      </c>
      <c r="C255" s="11">
        <f>SUM(D255:H255)</f>
        <v/>
      </c>
      <c r="D255" s="10" t="n">
        <v>0</v>
      </c>
      <c r="E255" s="10" t="n">
        <v>1</v>
      </c>
      <c r="F255" s="10" t="n">
        <v>0</v>
      </c>
      <c r="G255" s="10" t="n">
        <v>0</v>
      </c>
      <c r="H255" s="10" t="n">
        <v>0</v>
      </c>
      <c r="I255" s="10" t="inlineStr">
        <is>
          <t>COMPRAR</t>
        </is>
      </c>
      <c r="J255" s="12" t="inlineStr">
        <is>
          <t>LOBATOS - GRUPAL: Gran Juego (S-18/07 mañana): «Pinturas o rotuladores»</t>
        </is>
      </c>
      <c r="K255" s="13" t="inlineStr"/>
      <c r="L255" s="13" t="inlineStr"/>
    </row>
    <row r="256">
      <c r="A256" s="2" t="inlineStr">
        <is>
          <t>Pinturas para caracterizar villanos</t>
        </is>
      </c>
      <c r="B256" s="3" t="inlineStr">
        <is>
          <t>Papeleria/manualidades</t>
        </is>
      </c>
      <c r="C256" s="6">
        <f>SUM(D256:H256)</f>
        <v/>
      </c>
      <c r="D256" s="3" t="n">
        <v>0</v>
      </c>
      <c r="E256" s="3" t="n">
        <v>1</v>
      </c>
      <c r="F256" s="3" t="n">
        <v>0</v>
      </c>
      <c r="G256" s="3" t="n">
        <v>0</v>
      </c>
      <c r="H256" s="3" t="n">
        <v>0</v>
      </c>
      <c r="I256" s="3" t="inlineStr">
        <is>
          <t>COMPRAR</t>
        </is>
      </c>
      <c r="J256" s="7" t="inlineStr">
        <is>
          <t>LOBATOS - GRUPAL: Velada inicial (J-16/07 noche): «Pinturas para caracterizar villanos»</t>
        </is>
      </c>
      <c r="K256" s="8" t="inlineStr"/>
      <c r="L256" s="8" t="inlineStr"/>
    </row>
    <row r="257">
      <c r="A257" s="9" t="inlineStr">
        <is>
          <t>Pinzas (cobras)</t>
        </is>
      </c>
      <c r="B257" s="10" t="inlineStr">
        <is>
          <t>Otros</t>
        </is>
      </c>
      <c r="C257" s="11">
        <f>SUM(D257:H257)</f>
        <v/>
      </c>
      <c r="D257" s="10" t="n">
        <v>0</v>
      </c>
      <c r="E257" s="10" t="n">
        <v>0</v>
      </c>
      <c r="F257" s="10" t="n">
        <v>1</v>
      </c>
      <c r="G257" s="10" t="n">
        <v>0</v>
      </c>
      <c r="H257" s="10" t="n">
        <v>0</v>
      </c>
      <c r="I257" s="10" t="inlineStr">
        <is>
          <t>YA HAY (bases) - revisar</t>
        </is>
      </c>
      <c r="J257" s="12" t="inlineStr">
        <is>
          <t>EXPLORADORES - Guardián de las llaves / Pueblo duerme (Lluvia): «Pinzas (cobras)»</t>
        </is>
      </c>
      <c r="K257" s="13" t="inlineStr"/>
      <c r="L257" s="13" t="inlineStr"/>
    </row>
    <row r="258">
      <c r="A258" s="2" t="inlineStr">
        <is>
          <t>Pinzas de madera</t>
        </is>
      </c>
      <c r="B258" s="3" t="inlineStr">
        <is>
          <t>Papeleria/manualidades</t>
        </is>
      </c>
      <c r="C258" s="6">
        <f>SUM(D258:H258)</f>
        <v/>
      </c>
      <c r="D258" s="3" t="n">
        <v>1</v>
      </c>
      <c r="E258" s="3" t="n">
        <v>1</v>
      </c>
      <c r="F258" s="3" t="n">
        <v>0</v>
      </c>
      <c r="G258" s="3" t="n">
        <v>0</v>
      </c>
      <c r="H258" s="3" t="n">
        <v>0</v>
      </c>
      <c r="I258" s="3" t="inlineStr">
        <is>
          <t>COMPRAR</t>
        </is>
      </c>
      <c r="J258" s="7" t="inlineStr">
        <is>
          <t>CASTORES - Talleres pinza (Bolsa de juegos): «Pinzas»
LOBATOS - Taller de estrellas (X-22/07 noche): «Pinzas de madera»</t>
        </is>
      </c>
      <c r="K258" s="8" t="inlineStr"/>
      <c r="L258" s="8" t="inlineStr"/>
    </row>
    <row r="259">
      <c r="A259" s="9" t="inlineStr">
        <is>
          <t>Pinzas de orientación</t>
        </is>
      </c>
      <c r="B259" s="10" t="inlineStr">
        <is>
          <t>Otros</t>
        </is>
      </c>
      <c r="C259" s="11">
        <f>SUM(D259:H259)</f>
        <v/>
      </c>
      <c r="D259" s="10" t="n">
        <v>0</v>
      </c>
      <c r="E259" s="10" t="n">
        <v>0</v>
      </c>
      <c r="F259" s="10" t="n">
        <v>0</v>
      </c>
      <c r="G259" s="10" t="n">
        <v>0</v>
      </c>
      <c r="H259" s="10" t="n">
        <v>1</v>
      </c>
      <c r="I259" s="10" t="inlineStr">
        <is>
          <t>YA HAY (bases) - revisar</t>
        </is>
      </c>
      <c r="J259" s="12" t="inlineStr">
        <is>
          <t>RUTAS PANDORA - Carrera de orientación (Reserva): «Pinzas de orientación»</t>
        </is>
      </c>
      <c r="K259" s="13" t="inlineStr"/>
      <c r="L259" s="13" t="inlineStr"/>
    </row>
    <row r="260">
      <c r="A260" s="2" t="inlineStr">
        <is>
          <t>Piquetas</t>
        </is>
      </c>
      <c r="B260" s="3" t="inlineStr">
        <is>
          <t>Construccion/herramientas</t>
        </is>
      </c>
      <c r="C260" s="6">
        <f>SUM(D260:H260)</f>
        <v/>
      </c>
      <c r="D260" s="3" t="n">
        <v>0</v>
      </c>
      <c r="E260" s="3" t="n">
        <v>2</v>
      </c>
      <c r="F260" s="3" t="n">
        <v>1</v>
      </c>
      <c r="G260" s="3" t="n">
        <v>0</v>
      </c>
      <c r="H260" s="3" t="n">
        <v>1</v>
      </c>
      <c r="I260" s="3" t="inlineStr">
        <is>
          <t>YA HAY (bases) - revisar</t>
        </is>
      </c>
      <c r="J260" s="7" t="inlineStr">
        <is>
          <t>LOBATOS - Montaje (J-16/07 mañana): «Piquetas»
LOBATOS - Clan Ícaro: brújula casera y potabilizar (V-24/07 tarde 1): «Piquetas»
EXPLORADORES - Construcciones rústicas (J-16/07 mañana+tarde): «Piquetas»
RUTAS ICARO - Técnicas scouts (brújula casera, potabilizar) (V-24/07): «Piquetas»</t>
        </is>
      </c>
      <c r="K260" s="8" t="inlineStr"/>
      <c r="L260" s="8" t="inlineStr"/>
    </row>
    <row r="261">
      <c r="A261" s="9" t="inlineStr">
        <is>
          <t>Placa de cartón + puntas (plinko)</t>
        </is>
      </c>
      <c r="B261" s="10" t="inlineStr">
        <is>
          <t>Otros</t>
        </is>
      </c>
      <c r="C261" s="11">
        <f>SUM(D261:H261)</f>
        <v/>
      </c>
      <c r="D261" s="10" t="n">
        <v>0</v>
      </c>
      <c r="E261" s="10" t="n">
        <v>1</v>
      </c>
      <c r="F261" s="10" t="n">
        <v>0</v>
      </c>
      <c r="G261" s="10" t="n">
        <v>0</v>
      </c>
      <c r="H261" s="10" t="n">
        <v>0</v>
      </c>
      <c r="I261" s="10" t="inlineStr">
        <is>
          <t>YA HAY (bases) - revisar</t>
        </is>
      </c>
      <c r="J261" s="12" t="inlineStr">
        <is>
          <t>LOBATOS - GRUPAL: Barracas - El Gran Bazar (D-26/07 tarde): «Placa de cartón + puntas (plinko)»</t>
        </is>
      </c>
      <c r="K261" s="13" t="inlineStr"/>
      <c r="L261" s="13" t="inlineStr"/>
    </row>
    <row r="262">
      <c r="A262" s="2" t="inlineStr">
        <is>
          <t>Plumas (manualidades)</t>
        </is>
      </c>
      <c r="B262" s="3" t="inlineStr">
        <is>
          <t>Papeleria/manualidades</t>
        </is>
      </c>
      <c r="C262" s="6">
        <f>SUM(D262:H262)</f>
        <v/>
      </c>
      <c r="D262" s="3" t="n">
        <v>0</v>
      </c>
      <c r="E262" s="3" t="n">
        <v>0</v>
      </c>
      <c r="F262" s="3" t="n">
        <v>0</v>
      </c>
      <c r="G262" s="3" t="n">
        <v>0</v>
      </c>
      <c r="H262" s="3" t="n">
        <v>1</v>
      </c>
      <c r="I262" s="3" t="inlineStr">
        <is>
          <t>COMPRAR</t>
        </is>
      </c>
      <c r="J262" s="7" t="inlineStr">
        <is>
          <t>RUTAS ICARO - Revisar olimpiadas + hacer premios (S-26/07): «Plumas»</t>
        </is>
      </c>
      <c r="K262" s="8" t="inlineStr"/>
      <c r="L262" s="8" t="inlineStr"/>
    </row>
    <row r="263">
      <c r="A263" s="9" t="inlineStr">
        <is>
          <t>Poleas para bandera</t>
        </is>
      </c>
      <c r="B263" s="10" t="inlineStr">
        <is>
          <t>Construccion/herramientas</t>
        </is>
      </c>
      <c r="C263" s="11">
        <f>SUM(D263:H263)</f>
        <v/>
      </c>
      <c r="D263" s="10" t="n">
        <v>3</v>
      </c>
      <c r="E263" s="10" t="n">
        <v>0</v>
      </c>
      <c r="F263" s="10" t="n">
        <v>2</v>
      </c>
      <c r="G263" s="10" t="n">
        <v>0</v>
      </c>
      <c r="H263" s="10" t="n">
        <v>0</v>
      </c>
      <c r="I263" s="10" t="inlineStr">
        <is>
          <t>YA HAY (bases) - revisar</t>
        </is>
      </c>
      <c r="J263" s="12" t="inlineStr">
        <is>
          <t>CASTORES - Montaje de tiendas (J-16/07 mañana): «Poleas para banderas»
CASTORES - Construcciones zona común (V-17/07 mañana): «Poleas para banderas»
CASTORES - Consejo de troncos (V-24/07 noche): «Bandera»
EXPLORADORES - Construcciones rústicas (J-16/07 mañana+tarde): «2 poleas para bandera»</t>
        </is>
      </c>
      <c r="K263" s="13" t="inlineStr"/>
      <c r="L263" s="13" t="inlineStr"/>
    </row>
    <row r="264">
      <c r="A264" s="2" t="inlineStr">
        <is>
          <t>Polvos Holi ecológicos (mirar los del año pasado)</t>
        </is>
      </c>
      <c r="B264" s="3" t="inlineStr">
        <is>
          <t>Otros</t>
        </is>
      </c>
      <c r="C264" s="6">
        <f>SUM(D264:H264)</f>
        <v/>
      </c>
      <c r="D264" s="3" t="n">
        <v>0</v>
      </c>
      <c r="E264" s="3" t="n">
        <v>1</v>
      </c>
      <c r="F264" s="3" t="n">
        <v>0</v>
      </c>
      <c r="G264" s="3" t="n">
        <v>0</v>
      </c>
      <c r="H264" s="3" t="n">
        <v>0</v>
      </c>
      <c r="I264" s="3" t="inlineStr">
        <is>
          <t>YA HAY (bases) - revisar</t>
        </is>
      </c>
      <c r="J264" s="7" t="inlineStr">
        <is>
          <t>LOBATOS - GRUPAL: Día guarro (X-22/07 día): «Polvos Holi ecológicos (mirar los del año pasado)»</t>
        </is>
      </c>
      <c r="K264" s="8" t="inlineStr"/>
      <c r="L264" s="8" t="inlineStr"/>
    </row>
    <row r="265">
      <c r="A265" s="9" t="inlineStr">
        <is>
          <t>Pompones pequeños</t>
        </is>
      </c>
      <c r="B265" s="10" t="inlineStr">
        <is>
          <t>Papeleria/manualidades</t>
        </is>
      </c>
      <c r="C265" s="11">
        <f>SUM(D265:H265)</f>
        <v/>
      </c>
      <c r="D265" s="10" t="n">
        <v>1</v>
      </c>
      <c r="E265" s="10" t="n">
        <v>0</v>
      </c>
      <c r="F265" s="10" t="n">
        <v>0</v>
      </c>
      <c r="G265" s="10" t="n">
        <v>0</v>
      </c>
      <c r="H265" s="10" t="n">
        <v>0</v>
      </c>
      <c r="I265" s="10" t="inlineStr">
        <is>
          <t>COMPRAR</t>
        </is>
      </c>
      <c r="J265" s="12" t="inlineStr">
        <is>
          <t>CASTORES - Taller insignias (V-17/07 tarde): «Pompones pequeños»</t>
        </is>
      </c>
      <c r="K265" s="13" t="inlineStr"/>
      <c r="L265" s="13" t="inlineStr"/>
    </row>
    <row r="266">
      <c r="A266" s="2" t="inlineStr">
        <is>
          <t>Portada: 6 listones</t>
        </is>
      </c>
      <c r="B266" s="3" t="inlineStr">
        <is>
          <t>Otros</t>
        </is>
      </c>
      <c r="C266" s="6">
        <f>SUM(D266:H266)</f>
        <v/>
      </c>
      <c r="D266" s="3" t="n">
        <v>0</v>
      </c>
      <c r="E266" s="3" t="n">
        <v>0</v>
      </c>
      <c r="F266" s="3" t="n">
        <v>0</v>
      </c>
      <c r="G266" s="3" t="n">
        <v>0</v>
      </c>
      <c r="H266" s="3" t="n">
        <v>6</v>
      </c>
      <c r="I266" s="3" t="inlineStr">
        <is>
          <t>YA HAY (bases) - revisar</t>
        </is>
      </c>
      <c r="J266" s="7" t="inlineStr">
        <is>
          <t>RUTAS ICARO - Construcciones (J-16/07): «Portada: 6 listones»</t>
        </is>
      </c>
      <c r="K266" s="8" t="inlineStr"/>
      <c r="L266" s="8" t="inlineStr"/>
    </row>
    <row r="267">
      <c r="A267" s="9" t="inlineStr">
        <is>
          <t>Post-its</t>
        </is>
      </c>
      <c r="B267" s="10" t="inlineStr">
        <is>
          <t>Papeleria/manualidades</t>
        </is>
      </c>
      <c r="C267" s="11">
        <f>SUM(D267:H267)</f>
        <v/>
      </c>
      <c r="D267" s="10" t="n">
        <v>0</v>
      </c>
      <c r="E267" s="10" t="n">
        <v>0</v>
      </c>
      <c r="F267" s="10" t="n">
        <v>1</v>
      </c>
      <c r="G267" s="10" t="n">
        <v>2</v>
      </c>
      <c r="H267" s="10" t="n">
        <v>1</v>
      </c>
      <c r="I267" s="10" t="inlineStr">
        <is>
          <t>COMPRAR</t>
        </is>
      </c>
      <c r="J267" s="12" t="inlineStr">
        <is>
          <t>EXPLORADORES - Presentación profunda (V-17/07 mañana): «Post-its (3 como mucho)»
PIONEROS - Velada autopercepción (V-24/07 noche): «Post-its de colores»
PIONEROS - Sexualidad (S-25/07 tarde 1): «Post-its»
RUTAS PANDORA - PPV (V-17/07): «Post-its»</t>
        </is>
      </c>
      <c r="K267" s="13" t="inlineStr"/>
      <c r="L267" s="13" t="inlineStr"/>
    </row>
    <row r="268">
      <c r="A268" s="2" t="inlineStr">
        <is>
          <t>Preguntas scouts (kraalete)</t>
        </is>
      </c>
      <c r="B268" s="3" t="inlineStr">
        <is>
          <t>Otros</t>
        </is>
      </c>
      <c r="C268" s="6">
        <f>SUM(D268:H268)</f>
        <v/>
      </c>
      <c r="D268" s="3" t="n">
        <v>0</v>
      </c>
      <c r="E268" s="3" t="n">
        <v>0</v>
      </c>
      <c r="F268" s="3" t="n">
        <v>0</v>
      </c>
      <c r="G268" s="3" t="n">
        <v>1</v>
      </c>
      <c r="H268" s="3" t="n">
        <v>0</v>
      </c>
      <c r="I268" s="3" t="inlineStr">
        <is>
          <t>YA HAY (bases) - revisar</t>
        </is>
      </c>
      <c r="J268" s="7" t="inlineStr">
        <is>
          <t>PIONEROS - Juegos de agua (J-23/07 tarde 1): «Preguntas scouts (kraalete)»</t>
        </is>
      </c>
      <c r="K268" s="8" t="inlineStr"/>
      <c r="L268" s="8" t="inlineStr"/>
    </row>
    <row r="269">
      <c r="A269" s="9" t="inlineStr">
        <is>
          <t>Productos de limpieza (Fairy, estropajo, jabón)</t>
        </is>
      </c>
      <c r="B269" s="10" t="inlineStr">
        <is>
          <t>Higiene/limpieza</t>
        </is>
      </c>
      <c r="C269" s="11">
        <f>SUM(D269:H269)</f>
        <v/>
      </c>
      <c r="D269" s="10" t="n">
        <v>1</v>
      </c>
      <c r="E269" s="10" t="n">
        <v>2</v>
      </c>
      <c r="F269" s="10" t="n">
        <v>0</v>
      </c>
      <c r="G269" s="10" t="n">
        <v>0</v>
      </c>
      <c r="H269" s="10" t="n">
        <v>0</v>
      </c>
      <c r="I269" s="10" t="inlineStr">
        <is>
          <t>COMPRAR</t>
        </is>
      </c>
      <c r="J269" s="12" t="inlineStr">
        <is>
          <t>CASTORES - Acampada volante (x3 días) (D-19 a M-21/07): «Fairy»
LOBATOS - Ruta volante (x3 días) (D-19 a M-21/07): «Fairy»
LOBATOS - Gymkana de agua (V-24/07 mañana): «Jabón líquido o detergente suave»</t>
        </is>
      </c>
      <c r="K269" s="13" t="inlineStr"/>
      <c r="L269" s="13" t="inlineStr"/>
    </row>
    <row r="270">
      <c r="A270" s="2" t="inlineStr">
        <is>
          <t>Pruebas (kraalete)</t>
        </is>
      </c>
      <c r="B270" s="3" t="inlineStr">
        <is>
          <t>Otros</t>
        </is>
      </c>
      <c r="C270" s="6">
        <f>SUM(D270:H270)</f>
        <v/>
      </c>
      <c r="D270" s="3" t="n">
        <v>0</v>
      </c>
      <c r="E270" s="3" t="n">
        <v>0</v>
      </c>
      <c r="F270" s="3" t="n">
        <v>0</v>
      </c>
      <c r="G270" s="3" t="n">
        <v>1</v>
      </c>
      <c r="H270" s="3" t="n">
        <v>0</v>
      </c>
      <c r="I270" s="3" t="inlineStr">
        <is>
          <t>YA HAY (bases) - revisar</t>
        </is>
      </c>
      <c r="J270" s="7" t="inlineStr">
        <is>
          <t>PIONEROS - Carrera de orientación (X-22/07 tarde): «Pruebas (kraalete)»</t>
        </is>
      </c>
      <c r="K270" s="8" t="inlineStr"/>
      <c r="L270" s="8" t="inlineStr"/>
    </row>
    <row r="271">
      <c r="A271" s="9" t="inlineStr">
        <is>
          <t>Puntero láser</t>
        </is>
      </c>
      <c r="B271" s="10" t="inlineStr">
        <is>
          <t>Iluminacion/electronica</t>
        </is>
      </c>
      <c r="C271" s="11">
        <f>SUM(D271:H271)</f>
        <v/>
      </c>
      <c r="D271" s="10" t="n">
        <v>1</v>
      </c>
      <c r="E271" s="10" t="n">
        <v>0</v>
      </c>
      <c r="F271" s="10" t="n">
        <v>0</v>
      </c>
      <c r="G271" s="10" t="n">
        <v>0</v>
      </c>
      <c r="H271" s="10" t="n">
        <v>0</v>
      </c>
      <c r="I271" s="10" t="inlineStr">
        <is>
          <t>YA HAY (bases) - revisar</t>
        </is>
      </c>
      <c r="J271" s="12" t="inlineStr">
        <is>
          <t>CASTORES - Taller constelaciones (S-18/07 noche): «Puntero láser»</t>
        </is>
      </c>
      <c r="K271" s="13" t="inlineStr"/>
      <c r="L271" s="13" t="inlineStr"/>
    </row>
    <row r="272">
      <c r="A272" s="2" t="inlineStr">
        <is>
          <t>Punzón y agujas</t>
        </is>
      </c>
      <c r="B272" s="3" t="inlineStr">
        <is>
          <t>Papeleria/manualidades</t>
        </is>
      </c>
      <c r="C272" s="6">
        <f>SUM(D272:H272)</f>
        <v/>
      </c>
      <c r="D272" s="3" t="n">
        <v>0</v>
      </c>
      <c r="E272" s="3" t="n">
        <v>0</v>
      </c>
      <c r="F272" s="3" t="n">
        <v>0</v>
      </c>
      <c r="G272" s="3" t="n">
        <v>2</v>
      </c>
      <c r="H272" s="3" t="n">
        <v>0</v>
      </c>
      <c r="I272" s="3" t="inlineStr">
        <is>
          <t>COMPRAR</t>
        </is>
      </c>
      <c r="J272" s="7" t="inlineStr">
        <is>
          <t>PIONEROS - Decorar fotos (Lluvia): «Punzón»
PIONEROS - Decorar fotos (Lluvia): «Agujas»</t>
        </is>
      </c>
      <c r="K272" s="8" t="inlineStr"/>
      <c r="L272" s="8" t="inlineStr"/>
    </row>
    <row r="273">
      <c r="A273" s="9" t="inlineStr">
        <is>
          <t>Puzzles de las bases</t>
        </is>
      </c>
      <c r="B273" s="10" t="inlineStr">
        <is>
          <t>Otros</t>
        </is>
      </c>
      <c r="C273" s="11">
        <f>SUM(D273:H273)</f>
        <v/>
      </c>
      <c r="D273" s="10" t="n">
        <v>0</v>
      </c>
      <c r="E273" s="10" t="n">
        <v>0</v>
      </c>
      <c r="F273" s="10" t="n">
        <v>1</v>
      </c>
      <c r="G273" s="10" t="n">
        <v>0</v>
      </c>
      <c r="H273" s="10" t="n">
        <v>0</v>
      </c>
      <c r="I273" s="10" t="inlineStr">
        <is>
          <t>YA HAY (bases) - revisar</t>
        </is>
      </c>
      <c r="J273" s="12" t="inlineStr">
        <is>
          <t>EXPLORADORES - Pruebas Herberth (J-23/07 tarde 1): «Puzzles de las bases»</t>
        </is>
      </c>
      <c r="K273" s="13" t="inlineStr"/>
      <c r="L273" s="13" t="inlineStr"/>
    </row>
    <row r="274">
      <c r="A274" s="2" t="inlineStr">
        <is>
          <t>Puño de mono (ganador)</t>
        </is>
      </c>
      <c r="B274" s="3" t="inlineStr">
        <is>
          <t>Otros</t>
        </is>
      </c>
      <c r="C274" s="6">
        <f>SUM(D274:H274)</f>
        <v/>
      </c>
      <c r="D274" s="3" t="n">
        <v>0</v>
      </c>
      <c r="E274" s="3" t="n">
        <v>1</v>
      </c>
      <c r="F274" s="3" t="n">
        <v>0</v>
      </c>
      <c r="G274" s="3" t="n">
        <v>0</v>
      </c>
      <c r="H274" s="3" t="n">
        <v>0</v>
      </c>
      <c r="I274" s="3" t="inlineStr">
        <is>
          <t>YA HAY (bases) - revisar</t>
        </is>
      </c>
      <c r="J274" s="7" t="inlineStr">
        <is>
          <t>LOBATOS - ILLRA (L-20/07 tarde): «Puño de mono (ganador)»</t>
        </is>
      </c>
      <c r="K274" s="8" t="inlineStr"/>
      <c r="L274" s="8" t="inlineStr"/>
    </row>
    <row r="275">
      <c r="A275" s="9" t="inlineStr">
        <is>
          <t>Rana de sorteo</t>
        </is>
      </c>
      <c r="B275" s="10" t="inlineStr">
        <is>
          <t>Otros</t>
        </is>
      </c>
      <c r="C275" s="11">
        <f>SUM(D275:H275)</f>
        <v/>
      </c>
      <c r="D275" s="10" t="n">
        <v>0</v>
      </c>
      <c r="E275" s="10" t="n">
        <v>0</v>
      </c>
      <c r="F275" s="10" t="n">
        <v>2</v>
      </c>
      <c r="G275" s="10" t="n">
        <v>0</v>
      </c>
      <c r="H275" s="10" t="n">
        <v>0</v>
      </c>
      <c r="I275" s="10" t="inlineStr">
        <is>
          <t>YA HAY (bases) - revisar</t>
        </is>
      </c>
      <c r="J275" s="12" t="inlineStr">
        <is>
          <t>EXPLORADORES - Inauguración de la FELSA (V-17/07 tarde 2): «Rana de sorteo»
EXPLORADORES - FELSA (V-24/07 tarde 1): «Rana de sorteo»</t>
        </is>
      </c>
      <c r="K275" s="13" t="inlineStr"/>
      <c r="L275" s="13" t="inlineStr"/>
    </row>
    <row r="276">
      <c r="A276" s="2" t="inlineStr">
        <is>
          <t>Rastrillo y herramientas</t>
        </is>
      </c>
      <c r="B276" s="3" t="inlineStr">
        <is>
          <t>Construccion/herramientas</t>
        </is>
      </c>
      <c r="C276" s="6">
        <f>SUM(D276:H276)</f>
        <v/>
      </c>
      <c r="D276" s="3" t="n">
        <v>0</v>
      </c>
      <c r="E276" s="3" t="n">
        <v>0</v>
      </c>
      <c r="F276" s="3" t="n">
        <v>2</v>
      </c>
      <c r="G276" s="3" t="n">
        <v>0</v>
      </c>
      <c r="H276" s="3" t="n">
        <v>0</v>
      </c>
      <c r="I276" s="3" t="inlineStr">
        <is>
          <t>YA HAY (bases) - revisar</t>
        </is>
      </c>
      <c r="J276" s="7" t="inlineStr">
        <is>
          <t>EXPLORADORES - Desmontar construcciones (M-29/07 mañana): «Rastrillo»
EXPLORADORES - Desmontar construcciones (M-29/07 mañana): «Herramientas»</t>
        </is>
      </c>
      <c r="K276" s="8" t="inlineStr"/>
      <c r="L276" s="8" t="inlineStr"/>
    </row>
    <row r="277">
      <c r="A277" s="9" t="inlineStr">
        <is>
          <t>Red de volleyball</t>
        </is>
      </c>
      <c r="B277" s="10" t="inlineStr">
        <is>
          <t>Otros</t>
        </is>
      </c>
      <c r="C277" s="11">
        <f>SUM(D277:H277)</f>
        <v/>
      </c>
      <c r="D277" s="10" t="n">
        <v>0</v>
      </c>
      <c r="E277" s="10" t="n">
        <v>0</v>
      </c>
      <c r="F277" s="10" t="n">
        <v>0</v>
      </c>
      <c r="G277" s="10" t="n">
        <v>1</v>
      </c>
      <c r="H277" s="10" t="n">
        <v>0</v>
      </c>
      <c r="I277" s="10" t="inlineStr">
        <is>
          <t>YA HAY (bases) - revisar</t>
        </is>
      </c>
      <c r="J277" s="12" t="inlineStr">
        <is>
          <t>PIONEROS - Gymkhana deportes (V-17/07 tarde): «Red de volleyball»</t>
        </is>
      </c>
      <c r="K277" s="13" t="inlineStr"/>
      <c r="L277" s="13" t="inlineStr"/>
    </row>
    <row r="278">
      <c r="A278" s="2" t="inlineStr">
        <is>
          <t>Relojes x4 (si hay más mejor)</t>
        </is>
      </c>
      <c r="B278" s="3" t="inlineStr">
        <is>
          <t>Otros</t>
        </is>
      </c>
      <c r="C278" s="6">
        <f>SUM(D278:H278)</f>
        <v/>
      </c>
      <c r="D278" s="3" t="n">
        <v>0</v>
      </c>
      <c r="E278" s="3" t="n">
        <v>0</v>
      </c>
      <c r="F278" s="3" t="n">
        <v>1</v>
      </c>
      <c r="G278" s="3" t="n">
        <v>0</v>
      </c>
      <c r="H278" s="3" t="n">
        <v>0</v>
      </c>
      <c r="I278" s="3" t="inlineStr">
        <is>
          <t>YA HAY (bases) - revisar</t>
        </is>
      </c>
      <c r="J278" s="7" t="inlineStr">
        <is>
          <t>EXPLORADORES - Scape room (S-25/07 tarde 1): «Relojes x4 (si hay más mejor)»</t>
        </is>
      </c>
      <c r="K278" s="8" t="inlineStr"/>
      <c r="L278" s="8" t="inlineStr"/>
    </row>
    <row r="279">
      <c r="A279" s="9" t="inlineStr">
        <is>
          <t>Rotulador punta fina</t>
        </is>
      </c>
      <c r="B279" s="10" t="inlineStr">
        <is>
          <t>Otros</t>
        </is>
      </c>
      <c r="C279" s="11">
        <f>SUM(D279:H279)</f>
        <v/>
      </c>
      <c r="D279" s="10" t="n">
        <v>0</v>
      </c>
      <c r="E279" s="10" t="n">
        <v>0</v>
      </c>
      <c r="F279" s="10" t="n">
        <v>0</v>
      </c>
      <c r="G279" s="10" t="n">
        <v>0</v>
      </c>
      <c r="H279" s="10" t="n">
        <v>1</v>
      </c>
      <c r="I279" s="10" t="inlineStr">
        <is>
          <t>YA HAY (bases) - revisar</t>
        </is>
      </c>
      <c r="J279" s="12" t="inlineStr">
        <is>
          <t>RUTAS ICARO - Revisar olimpiadas + hacer premios (S-26/07): «Rotulador punta fina»</t>
        </is>
      </c>
      <c r="K279" s="13" t="inlineStr"/>
      <c r="L279" s="13" t="inlineStr"/>
    </row>
    <row r="280">
      <c r="A280" s="2" t="inlineStr">
        <is>
          <t>Rotuladores algo gorditos y normales</t>
        </is>
      </c>
      <c r="B280" s="3" t="inlineStr">
        <is>
          <t>Otros</t>
        </is>
      </c>
      <c r="C280" s="6">
        <f>SUM(D280:H280)</f>
        <v/>
      </c>
      <c r="D280" s="3" t="n">
        <v>1</v>
      </c>
      <c r="E280" s="3" t="n">
        <v>0</v>
      </c>
      <c r="F280" s="3" t="n">
        <v>0</v>
      </c>
      <c r="G280" s="3" t="n">
        <v>0</v>
      </c>
      <c r="H280" s="3" t="n">
        <v>0</v>
      </c>
      <c r="I280" s="3" t="inlineStr">
        <is>
          <t>YA HAY (bases) - revisar</t>
        </is>
      </c>
      <c r="J280" s="7" t="inlineStr">
        <is>
          <t>CASTORES - Lluvia: Pintar piedras (Lluvia): «Rotuladores algo gorditos y normales»</t>
        </is>
      </c>
      <c r="K280" s="8" t="inlineStr"/>
      <c r="L280" s="8" t="inlineStr"/>
    </row>
    <row r="281">
      <c r="A281" s="9" t="inlineStr">
        <is>
          <t>Rotuladores de colores</t>
        </is>
      </c>
      <c r="B281" s="10" t="inlineStr">
        <is>
          <t>Papeleria/manualidades</t>
        </is>
      </c>
      <c r="C281" s="11">
        <f>SUM(D281:H281)</f>
        <v/>
      </c>
      <c r="D281" s="10" t="n">
        <v>6</v>
      </c>
      <c r="E281" s="10" t="n">
        <v>3</v>
      </c>
      <c r="F281" s="10" t="n">
        <v>1</v>
      </c>
      <c r="G281" s="10" t="n">
        <v>6</v>
      </c>
      <c r="H281" s="10" t="n">
        <v>5</v>
      </c>
      <c r="I281" s="10" t="inlineStr">
        <is>
          <t>COMPRAR</t>
        </is>
      </c>
      <c r="J281" s="12" t="inlineStr">
        <is>
          <t>CASTORES - Normas de campamento + juegos (J-16/07 tarde 2): «Rotuladores»
CASTORES - Hacer mochilas acampada volante (S-18/07 tarde 2): «Rotuladores»
CASTORES - Entrenamiento Caza Gamusino (M-21/07 tarde 1): «Rotuladores»
CASTORES - Actividad Clan Ícaro (X-22/07 tarde 2): «Rotuladores»
CASTORES - Lluvia: Flipbook (D-26/07 (lluvia)): «Rotuladores»
CASTORES - Dinámica abanico (Bolsa de juegos): «Rotuladores»
LOBATOS - Preparación mochila (S-18/07 tarde 2): «Rotulador»
LOBATOS - Atrapasueños (L-27/07 tarde 1): «Rotuladores»
LOBATOS - Tipi indio - Miss y Mister (X-29/07 tarde): «Rotuladores»
EXPLORADORES - Miss y Mister: sacos de especias (M-29/07 tarde 1): «Rotuladores»
PIONEROS - Carrera de orientación (X-22/07 tarde): «Rotus»
PIONEROS - Velada autopercepción (V-24/07 noche): «Rotus»
PIONEROS - Sexualidad (S-25/07 tarde 1): «Rotuladores»
PIONEROS - Evaluación + Miss y Mister + velada (X-29/07 tarde): «Rotuladores de colores»
PIONEROS - Taller puzzle móvil (Lluvia): «Pinturillas y rotuladores de colores»
PIONEROS - Pintar mandalas (Lluvia): «Rotuladores de colores»
RUTAS PANDORA - PPV (V-17/07): «Rotuladores»
RUTAS PANDORA - Cambio climático y ecosistemas autosostenibles (S-25/07): «Rotulador»
RUTAS ICARO - Velada Vision Board (V-17/07 noche): «Rotuladores de colores y permanentes»
RUTAS ICARO - Talleres personales (Charlie) (M-21/07): «Rotus»
RUTAS ICARO - Actividad para Castores (X-22/07): «Rotuladores»</t>
        </is>
      </c>
      <c r="K281" s="13" t="inlineStr"/>
      <c r="L281" s="13" t="inlineStr"/>
    </row>
    <row r="282">
      <c r="A282" s="2" t="inlineStr">
        <is>
          <t>Rotuladores negros</t>
        </is>
      </c>
      <c r="B282" s="3" t="inlineStr">
        <is>
          <t>Otros</t>
        </is>
      </c>
      <c r="C282" s="6">
        <f>SUM(D282:H282)</f>
        <v/>
      </c>
      <c r="D282" s="3" t="n">
        <v>0</v>
      </c>
      <c r="E282" s="3" t="n">
        <v>0</v>
      </c>
      <c r="F282" s="3" t="n">
        <v>0</v>
      </c>
      <c r="G282" s="3" t="n">
        <v>0</v>
      </c>
      <c r="H282" s="3" t="n">
        <v>1</v>
      </c>
      <c r="I282" s="3" t="inlineStr">
        <is>
          <t>YA HAY (bases) - revisar</t>
        </is>
      </c>
      <c r="J282" s="7" t="inlineStr">
        <is>
          <t>RUTAS PANDORA - Miss y Mister (llaveros) (X-29/07 tarde): «Rotuladores negros»</t>
        </is>
      </c>
      <c r="K282" s="8" t="inlineStr"/>
      <c r="L282" s="8" t="inlineStr"/>
    </row>
    <row r="283">
      <c r="A283" s="9" t="inlineStr">
        <is>
          <t>Rotuladores permanentes</t>
        </is>
      </c>
      <c r="B283" s="10" t="inlineStr">
        <is>
          <t>Papeleria/manualidades</t>
        </is>
      </c>
      <c r="C283" s="11">
        <f>SUM(D283:H283)</f>
        <v/>
      </c>
      <c r="D283" s="10" t="n">
        <v>0</v>
      </c>
      <c r="E283" s="10" t="n">
        <v>0</v>
      </c>
      <c r="F283" s="10" t="n">
        <v>0</v>
      </c>
      <c r="G283" s="10" t="n">
        <v>1</v>
      </c>
      <c r="H283" s="10" t="n">
        <v>1</v>
      </c>
      <c r="I283" s="10" t="inlineStr">
        <is>
          <t>COMPRAR</t>
        </is>
      </c>
      <c r="J283" s="12" t="inlineStr">
        <is>
          <t>PIONEROS - Evaluación + Miss y Mister + velada (X-29/07 tarde): «Rotuladores permanentes finos»
RUTAS PANDORA - PPV (V-17/07): «Permanentes»</t>
        </is>
      </c>
      <c r="K283" s="13" t="inlineStr"/>
      <c r="L283" s="13" t="inlineStr"/>
    </row>
    <row r="284">
      <c r="A284" s="2" t="inlineStr">
        <is>
          <t>Rotuladores, pinturas, ceras</t>
        </is>
      </c>
      <c r="B284" s="3" t="inlineStr">
        <is>
          <t>Papeleria/manualidades</t>
        </is>
      </c>
      <c r="C284" s="6">
        <f>SUM(D284:H284)</f>
        <v/>
      </c>
      <c r="D284" s="3" t="n">
        <v>0</v>
      </c>
      <c r="E284" s="3" t="n">
        <v>1</v>
      </c>
      <c r="F284" s="3" t="n">
        <v>0</v>
      </c>
      <c r="G284" s="3" t="n">
        <v>0</v>
      </c>
      <c r="H284" s="3" t="n">
        <v>0</v>
      </c>
      <c r="I284" s="3" t="inlineStr">
        <is>
          <t>COMPRAR</t>
        </is>
      </c>
      <c r="J284" s="7" t="inlineStr">
        <is>
          <t>LOBATOS - Bailes tradicionales indios + país (M-21/07 tarde 1): «Rotuladores, pinturas, ceras»</t>
        </is>
      </c>
      <c r="K284" s="8" t="inlineStr"/>
      <c r="L284" s="8" t="inlineStr"/>
    </row>
    <row r="285">
      <c r="A285" s="9" t="inlineStr">
        <is>
          <t>Rotus de colores</t>
        </is>
      </c>
      <c r="B285" s="10" t="inlineStr">
        <is>
          <t>Otros</t>
        </is>
      </c>
      <c r="C285" s="11">
        <f>SUM(D285:H285)</f>
        <v/>
      </c>
      <c r="D285" s="10" t="n">
        <v>0</v>
      </c>
      <c r="E285" s="10" t="n">
        <v>0</v>
      </c>
      <c r="F285" s="10" t="n">
        <v>0</v>
      </c>
      <c r="G285" s="10" t="n">
        <v>1</v>
      </c>
      <c r="H285" s="10" t="n">
        <v>1</v>
      </c>
      <c r="I285" s="10" t="inlineStr">
        <is>
          <t>YA HAY (bases) - revisar</t>
        </is>
      </c>
      <c r="J285" s="12" t="inlineStr">
        <is>
          <t>PIONEROS - Fe (V-24/07 tarde 2): «Rotus de colores»
RUTAS ICARO - PPV (Vali) (V-17/07): «Rotus de colores»</t>
        </is>
      </c>
      <c r="K285" s="13" t="inlineStr"/>
      <c r="L285" s="13" t="inlineStr"/>
    </row>
    <row r="286">
      <c r="A286" s="2" t="inlineStr">
        <is>
          <t>Sangre de toro</t>
        </is>
      </c>
      <c r="B286" s="3" t="inlineStr">
        <is>
          <t>Otros</t>
        </is>
      </c>
      <c r="C286" s="6">
        <f>SUM(D286:H286)</f>
        <v/>
      </c>
      <c r="D286" s="3" t="n">
        <v>0</v>
      </c>
      <c r="E286" s="3" t="n">
        <v>1</v>
      </c>
      <c r="F286" s="3" t="n">
        <v>0</v>
      </c>
      <c r="G286" s="3" t="n">
        <v>0</v>
      </c>
      <c r="H286" s="3" t="n">
        <v>0</v>
      </c>
      <c r="I286" s="3" t="inlineStr">
        <is>
          <t>YA HAY (bases) - revisar</t>
        </is>
      </c>
      <c r="J286" s="7" t="inlineStr">
        <is>
          <t>LOBATOS - Roca del Consejo (V-24/07 noche): «Sangre de toro»</t>
        </is>
      </c>
      <c r="K286" s="8" t="inlineStr"/>
      <c r="L286" s="8" t="inlineStr"/>
    </row>
    <row r="287">
      <c r="A287" s="9" t="inlineStr">
        <is>
          <t>Sellos (1 por niño)</t>
        </is>
      </c>
      <c r="B287" s="10" t="inlineStr">
        <is>
          <t>Otros</t>
        </is>
      </c>
      <c r="C287" s="11">
        <f>SUM(D287:H287)</f>
        <v/>
      </c>
      <c r="D287" s="10" t="n">
        <v>1</v>
      </c>
      <c r="E287" s="10" t="n">
        <v>0</v>
      </c>
      <c r="F287" s="10" t="n">
        <v>0</v>
      </c>
      <c r="G287" s="10" t="n">
        <v>0</v>
      </c>
      <c r="H287" s="10" t="n">
        <v>0</v>
      </c>
      <c r="I287" s="10" t="inlineStr">
        <is>
          <t>YA HAY (bases) - revisar</t>
        </is>
      </c>
      <c r="J287" s="12" t="inlineStr">
        <is>
          <t>CASTORES - Taller de sobres y cartas (Bolsa de juegos): «Sellos (1 por niño)»</t>
        </is>
      </c>
      <c r="K287" s="13" t="inlineStr"/>
      <c r="L287" s="13" t="inlineStr"/>
    </row>
    <row r="288">
      <c r="A288" s="2" t="inlineStr">
        <is>
          <t>Serpentina de colores</t>
        </is>
      </c>
      <c r="B288" s="3" t="inlineStr">
        <is>
          <t>Papeleria/manualidades</t>
        </is>
      </c>
      <c r="C288" s="6">
        <f>SUM(D288:H288)</f>
        <v/>
      </c>
      <c r="D288" s="3" t="n">
        <v>0</v>
      </c>
      <c r="E288" s="3" t="n">
        <v>0</v>
      </c>
      <c r="F288" s="3" t="n">
        <v>0</v>
      </c>
      <c r="G288" s="3" t="n">
        <v>1</v>
      </c>
      <c r="H288" s="3" t="n">
        <v>0</v>
      </c>
      <c r="I288" s="3" t="inlineStr">
        <is>
          <t>COMPRAR</t>
        </is>
      </c>
      <c r="J288" s="7" t="inlineStr">
        <is>
          <t>PIONEROS - Cuenco serpentina (Lluvia): «Serpentina de colores»</t>
        </is>
      </c>
      <c r="K288" s="8" t="inlineStr"/>
      <c r="L288" s="8" t="inlineStr"/>
    </row>
    <row r="289">
      <c r="A289" s="9" t="inlineStr">
        <is>
          <t>Silbato</t>
        </is>
      </c>
      <c r="B289" s="10" t="inlineStr">
        <is>
          <t>Juegos/deporte</t>
        </is>
      </c>
      <c r="C289" s="11">
        <f>SUM(D289:H289)</f>
        <v/>
      </c>
      <c r="D289" s="10" t="n">
        <v>1</v>
      </c>
      <c r="E289" s="10" t="n">
        <v>2</v>
      </c>
      <c r="F289" s="10" t="n">
        <v>4</v>
      </c>
      <c r="G289" s="10" t="n">
        <v>1</v>
      </c>
      <c r="H289" s="10" t="n">
        <v>0</v>
      </c>
      <c r="I289" s="10" t="inlineStr">
        <is>
          <t>YA HAY (bases) - revisar</t>
        </is>
      </c>
      <c r="J289" s="12" t="inlineStr">
        <is>
          <t>CASTORES - Juegos nocturnos (stalking) (S-25/07 noche): «Silbato»
LOBATOS - Juegos nocturnos (V-17/07 noche): «Silbatos»
LOBATOS - ILLRA (L-20/07 tarde): «Silbato monitores»
EXPLORADORES - Inauguración de la FELSA (V-17/07 tarde 2): «Caja con pañoletas de juego, cinturones, silbato, pañoleta de ganador»
EXPLORADORES - Jugger (X-22/07 tarde 2): «Silbato»
EXPLORADORES - Velada con Pioneros: Estratego (J-23/07 noche): «Silbatos monitores»
EXPLORADORES - FELSA (V-24/07 tarde 1): «Caja con pañoletas, cinturones, silbato, pañoleta ganador»
PIONEROS - Velada conjunta Tropa - Stratego (J-23/07 noche): «Silbato»</t>
        </is>
      </c>
      <c r="K289" s="13" t="inlineStr"/>
      <c r="L289" s="13" t="inlineStr"/>
    </row>
    <row r="290">
      <c r="A290" s="2" t="inlineStr">
        <is>
          <t>Silicona líquida</t>
        </is>
      </c>
      <c r="B290" s="3" t="inlineStr">
        <is>
          <t>Papeleria/manualidades</t>
        </is>
      </c>
      <c r="C290" s="6">
        <f>SUM(D290:H290)</f>
        <v/>
      </c>
      <c r="D290" s="3" t="n">
        <v>1</v>
      </c>
      <c r="E290" s="3" t="n">
        <v>0</v>
      </c>
      <c r="F290" s="3" t="n">
        <v>0</v>
      </c>
      <c r="G290" s="3" t="n">
        <v>0</v>
      </c>
      <c r="H290" s="3" t="n">
        <v>0</v>
      </c>
      <c r="I290" s="3" t="inlineStr">
        <is>
          <t>COMPRAR</t>
        </is>
      </c>
      <c r="J290" s="7" t="inlineStr">
        <is>
          <t>CASTORES - Taller insignias (V-17/07 tarde): «Silicona líquida para pegar los imperdibles»</t>
        </is>
      </c>
      <c r="K290" s="8" t="inlineStr"/>
      <c r="L290" s="8" t="inlineStr"/>
    </row>
    <row r="291">
      <c r="A291" s="9" t="inlineStr">
        <is>
          <t>Sillas de camping del kraal (prestadas)</t>
        </is>
      </c>
      <c r="B291" s="10" t="inlineStr">
        <is>
          <t>Otros</t>
        </is>
      </c>
      <c r="C291" s="11">
        <f>SUM(D291:H291)</f>
        <v/>
      </c>
      <c r="D291" s="10" t="n">
        <v>0</v>
      </c>
      <c r="E291" s="10" t="n">
        <v>0</v>
      </c>
      <c r="F291" s="10" t="n">
        <v>0</v>
      </c>
      <c r="G291" s="10" t="n">
        <v>1</v>
      </c>
      <c r="H291" s="10" t="n">
        <v>0</v>
      </c>
      <c r="I291" s="10" t="inlineStr">
        <is>
          <t>YA HAY (bases) - revisar</t>
        </is>
      </c>
      <c r="J291" s="12" t="inlineStr">
        <is>
          <t>PIONEROS - Velada NNEE (S-25/07 noche): «Sillas de camping del kraal (prestadas)»</t>
        </is>
      </c>
      <c r="K291" s="13" t="inlineStr"/>
      <c r="L291" s="13" t="inlineStr"/>
    </row>
    <row r="292">
      <c r="A292" s="2" t="inlineStr">
        <is>
          <t>Sobres</t>
        </is>
      </c>
      <c r="B292" s="3" t="inlineStr">
        <is>
          <t>Papeleria/manualidades</t>
        </is>
      </c>
      <c r="C292" s="6">
        <f>SUM(D292:H292)</f>
        <v/>
      </c>
      <c r="D292" s="3" t="n">
        <v>1</v>
      </c>
      <c r="E292" s="3" t="n">
        <v>0</v>
      </c>
      <c r="F292" s="3" t="n">
        <v>5</v>
      </c>
      <c r="G292" s="3" t="n">
        <v>10</v>
      </c>
      <c r="H292" s="3" t="n">
        <v>0</v>
      </c>
      <c r="I292" s="3" t="inlineStr">
        <is>
          <t>COMPRAR</t>
        </is>
      </c>
      <c r="J292" s="7" t="inlineStr">
        <is>
          <t>CASTORES - Rastreo nocturno (V-17/07 noche): «Paquete de sobres»
EXPLORADORES - Presentación profunda (V-17/07 mañana): «5 sobres»
PIONEROS - Carrera de orientación (X-22/07 tarde): «Sobres pequeños x10»</t>
        </is>
      </c>
      <c r="K292" s="8" t="inlineStr"/>
      <c r="L292" s="8" t="inlineStr"/>
    </row>
    <row r="293">
      <c r="A293" s="9" t="inlineStr">
        <is>
          <t>Sombrajo (tela)</t>
        </is>
      </c>
      <c r="B293" s="10" t="inlineStr">
        <is>
          <t>Construccion/herramientas</t>
        </is>
      </c>
      <c r="C293" s="11">
        <f>SUM(D293:H293)</f>
        <v/>
      </c>
      <c r="D293" s="10" t="n">
        <v>0</v>
      </c>
      <c r="E293" s="10" t="n">
        <v>1</v>
      </c>
      <c r="F293" s="10" t="n">
        <v>0</v>
      </c>
      <c r="G293" s="10" t="n">
        <v>0</v>
      </c>
      <c r="H293" s="10" t="n">
        <v>0</v>
      </c>
      <c r="I293" s="10" t="inlineStr">
        <is>
          <t>YA HAY (bases) - revisar</t>
        </is>
      </c>
      <c r="J293" s="12" t="inlineStr">
        <is>
          <t>LOBATOS - Bailes tradicionales indios + país (M-21/07 tarde 1): «Telas»</t>
        </is>
      </c>
      <c r="K293" s="13" t="inlineStr"/>
      <c r="L293" s="13" t="inlineStr"/>
    </row>
    <row r="294">
      <c r="A294" s="2" t="inlineStr">
        <is>
          <t>Tablas rotas</t>
        </is>
      </c>
      <c r="B294" s="3" t="inlineStr">
        <is>
          <t>Otros</t>
        </is>
      </c>
      <c r="C294" s="6">
        <f>SUM(D294:H294)</f>
        <v/>
      </c>
      <c r="D294" s="3" t="n">
        <v>0</v>
      </c>
      <c r="E294" s="3" t="n">
        <v>0</v>
      </c>
      <c r="F294" s="3" t="n">
        <v>1</v>
      </c>
      <c r="G294" s="3" t="n">
        <v>0</v>
      </c>
      <c r="H294" s="3" t="n">
        <v>0</v>
      </c>
      <c r="I294" s="3" t="inlineStr">
        <is>
          <t>YA HAY (bases) - revisar</t>
        </is>
      </c>
      <c r="J294" s="7" t="inlineStr">
        <is>
          <t>EXPLORADORES - Construcciones adicionales (V-17/07 tarde 1): «Tablas rotas»</t>
        </is>
      </c>
      <c r="K294" s="8" t="inlineStr"/>
      <c r="L294" s="8" t="inlineStr"/>
    </row>
    <row r="295">
      <c r="A295" s="9" t="inlineStr">
        <is>
          <t>Tablita para columpio</t>
        </is>
      </c>
      <c r="B295" s="10" t="inlineStr">
        <is>
          <t>Otros</t>
        </is>
      </c>
      <c r="C295" s="11">
        <f>SUM(D295:H295)</f>
        <v/>
      </c>
      <c r="D295" s="10" t="n">
        <v>0</v>
      </c>
      <c r="E295" s="10" t="n">
        <v>0</v>
      </c>
      <c r="F295" s="10" t="n">
        <v>1</v>
      </c>
      <c r="G295" s="10" t="n">
        <v>0</v>
      </c>
      <c r="H295" s="10" t="n">
        <v>0</v>
      </c>
      <c r="I295" s="10" t="inlineStr">
        <is>
          <t>YA HAY (bases) - revisar</t>
        </is>
      </c>
      <c r="J295" s="12" t="inlineStr">
        <is>
          <t>EXPLORADORES - Construcciones adicionales (V-17/07 tarde 1): «Tablita para columpio»</t>
        </is>
      </c>
      <c r="K295" s="13" t="inlineStr"/>
      <c r="L295" s="13" t="inlineStr"/>
    </row>
    <row r="296">
      <c r="A296" s="2" t="inlineStr">
        <is>
          <t>Tablones de madera</t>
        </is>
      </c>
      <c r="B296" s="3" t="inlineStr">
        <is>
          <t>Otros</t>
        </is>
      </c>
      <c r="C296" s="6">
        <f>SUM(D296:H296)</f>
        <v/>
      </c>
      <c r="D296" s="3" t="n">
        <v>0</v>
      </c>
      <c r="E296" s="3" t="n">
        <v>0</v>
      </c>
      <c r="F296" s="3" t="n">
        <v>1</v>
      </c>
      <c r="G296" s="3" t="n">
        <v>0</v>
      </c>
      <c r="H296" s="3" t="n">
        <v>0</v>
      </c>
      <c r="I296" s="3" t="inlineStr">
        <is>
          <t>YA HAY (bases) - revisar</t>
        </is>
      </c>
      <c r="J296" s="7" t="inlineStr">
        <is>
          <t>EXPLORADORES - Construcciones adicionales (V-17/07 tarde 1): «Tablones de madera»</t>
        </is>
      </c>
      <c r="K296" s="8" t="inlineStr"/>
      <c r="L296" s="8" t="inlineStr"/>
    </row>
    <row r="297">
      <c r="A297" s="9" t="inlineStr">
        <is>
          <t>Tapones 6</t>
        </is>
      </c>
      <c r="B297" s="10" t="inlineStr">
        <is>
          <t>Otros</t>
        </is>
      </c>
      <c r="C297" s="11">
        <f>SUM(D297:H297)</f>
        <v/>
      </c>
      <c r="D297" s="10" t="n">
        <v>0</v>
      </c>
      <c r="E297" s="10" t="n">
        <v>1</v>
      </c>
      <c r="F297" s="10" t="n">
        <v>0</v>
      </c>
      <c r="G297" s="10" t="n">
        <v>0</v>
      </c>
      <c r="H297" s="10" t="n">
        <v>0</v>
      </c>
      <c r="I297" s="10" t="inlineStr">
        <is>
          <t>YA HAY (bases) - revisar</t>
        </is>
      </c>
      <c r="J297" s="12" t="inlineStr">
        <is>
          <t>LOBATOS - Gymkana de agua (V-24/07 mañana): «Tapones 6»</t>
        </is>
      </c>
      <c r="K297" s="13" t="inlineStr"/>
      <c r="L297" s="13" t="inlineStr"/>
    </row>
    <row r="298">
      <c r="A298" s="2" t="inlineStr">
        <is>
          <t>Tarjetas de personajes (unidad)</t>
        </is>
      </c>
      <c r="B298" s="3" t="inlineStr">
        <is>
          <t>Otros</t>
        </is>
      </c>
      <c r="C298" s="6">
        <f>SUM(D298:H298)</f>
        <v/>
      </c>
      <c r="D298" s="3" t="n">
        <v>0</v>
      </c>
      <c r="E298" s="3" t="n">
        <v>0</v>
      </c>
      <c r="F298" s="3" t="n">
        <v>1</v>
      </c>
      <c r="G298" s="3" t="n">
        <v>0</v>
      </c>
      <c r="H298" s="3" t="n">
        <v>0</v>
      </c>
      <c r="I298" s="3" t="inlineStr">
        <is>
          <t>YA HAY (bases) - revisar</t>
        </is>
      </c>
      <c r="J298" s="7" t="inlineStr">
        <is>
          <t>EXPLORADORES - Presentación profunda (V-17/07 mañana): «Tarjetas de personajes (unidad)»</t>
        </is>
      </c>
      <c r="K298" s="8" t="inlineStr"/>
      <c r="L298" s="8" t="inlineStr"/>
    </row>
    <row r="299">
      <c r="A299" s="9" t="inlineStr">
        <is>
          <t>Tarros con líquidos de color (x5 colores)</t>
        </is>
      </c>
      <c r="B299" s="10" t="inlineStr">
        <is>
          <t>Otros</t>
        </is>
      </c>
      <c r="C299" s="11">
        <f>SUM(D299:H299)</f>
        <v/>
      </c>
      <c r="D299" s="10" t="n">
        <v>0</v>
      </c>
      <c r="E299" s="10" t="n">
        <v>0</v>
      </c>
      <c r="F299" s="10" t="n">
        <v>1</v>
      </c>
      <c r="G299" s="10" t="n">
        <v>0</v>
      </c>
      <c r="H299" s="10" t="n">
        <v>0</v>
      </c>
      <c r="I299" s="10" t="inlineStr">
        <is>
          <t>YA HAY (bases) - revisar</t>
        </is>
      </c>
      <c r="J299" s="12" t="inlineStr">
        <is>
          <t>EXPLORADORES - Scape room (S-25/07 tarde 1): «Tarros con líquidos de color (x5 colores)»</t>
        </is>
      </c>
      <c r="K299" s="13" t="inlineStr"/>
      <c r="L299" s="13" t="inlineStr"/>
    </row>
    <row r="300">
      <c r="A300" s="2" t="inlineStr">
        <is>
          <t>Telas, disfraces y maquillaje de caracterización</t>
        </is>
      </c>
      <c r="B300" s="3" t="inlineStr">
        <is>
          <t>Textil/disfraces</t>
        </is>
      </c>
      <c r="C300" s="6">
        <f>SUM(D300:H300)</f>
        <v/>
      </c>
      <c r="D300" s="3" t="n">
        <v>8</v>
      </c>
      <c r="E300" s="3" t="n">
        <v>6</v>
      </c>
      <c r="F300" s="3" t="n">
        <v>1</v>
      </c>
      <c r="G300" s="3" t="n">
        <v>1</v>
      </c>
      <c r="H300" s="3" t="n">
        <v>0</v>
      </c>
      <c r="I300" s="3" t="inlineStr">
        <is>
          <t>YA HAY (bases) - revisar</t>
        </is>
      </c>
      <c r="J300" s="7" t="inlineStr">
        <is>
          <t>CASTORES - Normas de campamento + juegos (J-16/07 tarde 2): «Tela pequeña o pañoleta (pañuelito)»
CASTORES - Caza Gamusino (M-21/07 noche): «6 sacos de tela»
CASTORES - Lluvia: Carteles con letras chinas (Lluvia): «Telas blancas (2 por niño, tamaño bufanda)»
LOBATOS - Juegos India (V-17/07 mañana): «Pinturas cara pintacaras (de pincel, no de pinturilla)»
LOBATOS - Juegos India (V-17/07 mañana): «Telas de las bases»
LOBATOS - GRUPAL: Velada inicial (J-16/07 noche): «Velos/telas»
LOBATOS - GRUPAL: Gran Juego (S-18/07 mañana): «Pinturas de cara o maquillaje»
LOBATOS - GRUPAL: Gran Juego (S-18/07 mañana): «Telas o algo para disfrazarse»
LOBATOS - GRUPAL: Gran Juego (S-18/07 mañana): «Pañoletas o tela para tapar ojos»
EXPLORADORES - Miss y Mister: sacos de especias (M-29/07 tarde 1): «Cuadrado de tela 10x10cm por niño»
PIONEROS - Carrera de orientación (X-22/07 tarde): «Trozos de telas pequeños (o cinta reflectante) de 2 colores»</t>
        </is>
      </c>
      <c r="K300" s="8" t="inlineStr"/>
      <c r="L300" s="8" t="inlineStr"/>
    </row>
    <row r="301">
      <c r="A301" s="9" t="inlineStr">
        <is>
          <t>Textiles para talleres (camisetas, tote bags)</t>
        </is>
      </c>
      <c r="B301" s="10" t="inlineStr">
        <is>
          <t>Textil/disfraces</t>
        </is>
      </c>
      <c r="C301" s="11">
        <f>SUM(D301:H301)</f>
        <v/>
      </c>
      <c r="D301" s="10" t="n">
        <v>1</v>
      </c>
      <c r="E301" s="10" t="n">
        <v>1</v>
      </c>
      <c r="F301" s="10" t="n">
        <v>0</v>
      </c>
      <c r="G301" s="10">
        <f>CONFIG!$B$5</f>
        <v/>
      </c>
      <c r="H301" s="10" t="n">
        <v>0</v>
      </c>
      <c r="I301" s="10" t="inlineStr">
        <is>
          <t>LO TRAE EL NINO</t>
        </is>
      </c>
      <c r="J301" s="12" t="inlineStr">
        <is>
          <t>CASTORES - Diseño de camisetas (X-22/07 tarde 1): «Camiseta blanca o básica (cada castor debe llevar una)»
LOBATOS - Voluntariado conjunto Lobatos-Pioneros (J-23/07 mañana): «Camiseta de cambio»</t>
        </is>
      </c>
      <c r="K301" s="13" t="inlineStr"/>
      <c r="L301" s="13" t="inlineStr"/>
    </row>
    <row r="302">
      <c r="A302" s="2" t="inlineStr">
        <is>
          <t>Tiendas de campaña</t>
        </is>
      </c>
      <c r="B302" s="3" t="inlineStr">
        <is>
          <t>Construccion/herramientas</t>
        </is>
      </c>
      <c r="C302" s="6">
        <f>SUM(D302:H302)</f>
        <v/>
      </c>
      <c r="D302" s="3" t="n">
        <v>0</v>
      </c>
      <c r="E302" s="3" t="n">
        <v>1</v>
      </c>
      <c r="F302" s="3" t="n">
        <v>1</v>
      </c>
      <c r="G302" s="3" t="n">
        <v>0</v>
      </c>
      <c r="H302" s="3" t="n">
        <v>1</v>
      </c>
      <c r="I302" s="3" t="inlineStr">
        <is>
          <t>YA HAY (bases) - revisar</t>
        </is>
      </c>
      <c r="J302" s="7" t="inlineStr">
        <is>
          <t>LOBATOS - Montaje (J-16/07 mañana): «Tiendas»
EXPLORADORES - Construcciones rústicas (J-16/07 mañana+tarde): «Tiendas»
RUTAS ICARO - Construcciones (J-16/07): «Tienda»</t>
        </is>
      </c>
      <c r="K302" s="8" t="inlineStr"/>
      <c r="L302" s="8" t="inlineStr"/>
    </row>
    <row r="303">
      <c r="A303" s="9" t="inlineStr">
        <is>
          <t>Tijeras</t>
        </is>
      </c>
      <c r="B303" s="10" t="inlineStr">
        <is>
          <t>Papeleria/manualidades</t>
        </is>
      </c>
      <c r="C303" s="11">
        <f>SUM(D303:H303)</f>
        <v/>
      </c>
      <c r="D303" s="10" t="n">
        <v>5</v>
      </c>
      <c r="E303" s="10" t="n">
        <v>4</v>
      </c>
      <c r="F303" s="10" t="n">
        <v>0</v>
      </c>
      <c r="G303" s="10" t="n">
        <v>4</v>
      </c>
      <c r="H303" s="10" t="n">
        <v>2</v>
      </c>
      <c r="I303" s="10" t="inlineStr">
        <is>
          <t>COMPRAR</t>
        </is>
      </c>
      <c r="J303" s="12" t="inlineStr">
        <is>
          <t>CASTORES - Montaje de tiendas (J-16/07 mañana): «Tijeras de punta redonda»
CASTORES - Construcciones zona común (V-17/07 mañana): «Tijeras de punta redonda»
CASTORES - Taller insignias (V-17/07 tarde): «Tijeras»
CASTORES - Actividad de agua: El descenso del Ganges (V-24/07 mañana): «Tijeras»
CASTORES - Cuento de imágenes (Bolsa de juegos): «Tijeras»
LOBATOS - Taller de pulseras (D-19/07 tarde): «Tijeras»
LOBATOS - Atrapasueños (L-27/07 tarde 1): «Tijeras»
LOBATOS - Taller sexualidad: línea del tiempo (M-28/07 tarde 1): «Tijeras»
LOBATOS - Tipi indio - Miss y Mister (X-29/07 tarde): «Tijeras»
PIONEROS - Taller de estrellas (V-17/07 noche): «Tijeras»
PIONEROS - Taller puzzle móvil (Lluvia): «Tijeras»
PIONEROS - Cuenco serpentina (Lluvia): «Tijeras»
PIONEROS - Pulseras (Lluvia): «Tijeras»
RUTAS PANDORA - Miss y Mister (llaveros) (X-29/07 tarde): «Tijeras»
RUTAS ICARO - Voluntariado Manuela (J-23/07): «Tijeras»</t>
        </is>
      </c>
      <c r="K303" s="13" t="inlineStr"/>
      <c r="L303" s="13" t="inlineStr"/>
    </row>
    <row r="304">
      <c r="A304" s="2" t="inlineStr">
        <is>
          <t>Tronquitos (se encarga la unidad)</t>
        </is>
      </c>
      <c r="B304" s="3" t="inlineStr">
        <is>
          <t>Otros</t>
        </is>
      </c>
      <c r="C304" s="6">
        <f>SUM(D304:H304)</f>
        <v/>
      </c>
      <c r="D304" s="3" t="n">
        <v>1</v>
      </c>
      <c r="E304" s="3" t="n">
        <v>0</v>
      </c>
      <c r="F304" s="3" t="n">
        <v>0</v>
      </c>
      <c r="G304" s="3" t="n">
        <v>0</v>
      </c>
      <c r="H304" s="3" t="n">
        <v>0</v>
      </c>
      <c r="I304" s="3" t="inlineStr">
        <is>
          <t>YA HAY (bases) - revisar</t>
        </is>
      </c>
      <c r="J304" s="7" t="inlineStr">
        <is>
          <t>CASTORES - Consejo de troncos (V-24/07 noche): «Tronquitos (se encarga la unidad)»</t>
        </is>
      </c>
      <c r="K304" s="8" t="inlineStr"/>
      <c r="L304" s="8" t="inlineStr"/>
    </row>
    <row r="305">
      <c r="A305" s="9" t="inlineStr">
        <is>
          <t>Tubos de PVC liso 16mm cortados a 50cm (1 por explorador)</t>
        </is>
      </c>
      <c r="B305" s="10" t="inlineStr">
        <is>
          <t>Otros</t>
        </is>
      </c>
      <c r="C305" s="11">
        <f>SUM(D305:H305)</f>
        <v/>
      </c>
      <c r="D305" s="10" t="n">
        <v>0</v>
      </c>
      <c r="E305" s="10" t="n">
        <v>0</v>
      </c>
      <c r="F305" s="10" t="n">
        <v>1</v>
      </c>
      <c r="G305" s="10" t="n">
        <v>0</v>
      </c>
      <c r="H305" s="10" t="n">
        <v>0</v>
      </c>
      <c r="I305" s="10" t="inlineStr">
        <is>
          <t>YA HAY (bases) - revisar</t>
        </is>
      </c>
      <c r="J305" s="12" t="inlineStr">
        <is>
          <t>EXPLORADORES - Juegos (Tropiolimpiadas - cerbatanas) (J-16/07 tarde): «Tubos de PVC liso 16mm cortados a 50cm (1 por explorador)»</t>
        </is>
      </c>
      <c r="K305" s="13" t="inlineStr"/>
      <c r="L305" s="13" t="inlineStr"/>
    </row>
    <row r="306">
      <c r="A306" s="2" t="inlineStr">
        <is>
          <t>Témperas</t>
        </is>
      </c>
      <c r="B306" s="3" t="inlineStr">
        <is>
          <t>Papeleria/manualidades</t>
        </is>
      </c>
      <c r="C306" s="6">
        <f>SUM(D306:H306)</f>
        <v/>
      </c>
      <c r="D306" s="3" t="n">
        <v>4</v>
      </c>
      <c r="E306" s="3" t="n">
        <v>1</v>
      </c>
      <c r="F306" s="3" t="n">
        <v>0</v>
      </c>
      <c r="G306" s="3" t="n">
        <v>0</v>
      </c>
      <c r="H306" s="3" t="n">
        <v>0</v>
      </c>
      <c r="I306" s="3" t="inlineStr">
        <is>
          <t>COMPRAR</t>
        </is>
      </c>
      <c r="J306" s="7" t="inlineStr">
        <is>
          <t>CASTORES - Gran Juego: El Taj perdido (con Lobatos) (S-18/07 tarde 1): «Témperas (colores a concretar)»
CASTORES - Actividad de agua: El descenso del Ganges (V-24/07 mañana): «Témperas y 10 pinceles»
CASTORES - Taller de arcilla (S-25/07 tarde 1): «Botes de témperas»
CASTORES - Taller pintar piedras (Bolsa de juegos): «Pinceles y témperas»
LOBATOS - El Taj perdido (con Castores) (S-18/07 tarde 1): «Témperas»</t>
        </is>
      </c>
      <c r="K306" s="8" t="inlineStr"/>
      <c r="L306" s="8" t="inlineStr"/>
    </row>
    <row r="307">
      <c r="A307" s="9" t="inlineStr">
        <is>
          <t>Tótem 'Paco'</t>
        </is>
      </c>
      <c r="B307" s="10" t="inlineStr">
        <is>
          <t>Otros</t>
        </is>
      </c>
      <c r="C307" s="11">
        <f>SUM(D307:H307)</f>
        <v/>
      </c>
      <c r="D307" s="10" t="n">
        <v>1</v>
      </c>
      <c r="E307" s="10" t="n">
        <v>0</v>
      </c>
      <c r="F307" s="10" t="n">
        <v>0</v>
      </c>
      <c r="G307" s="10" t="n">
        <v>0</v>
      </c>
      <c r="H307" s="10" t="n">
        <v>0</v>
      </c>
      <c r="I307" s="10" t="inlineStr">
        <is>
          <t>YA HAY (bases) - revisar</t>
        </is>
      </c>
      <c r="J307" s="12" t="inlineStr">
        <is>
          <t>CASTORES - Consejo de troncos (V-24/07 noche): «Tótem 'Paco'»</t>
        </is>
      </c>
      <c r="K307" s="13" t="inlineStr"/>
      <c r="L307" s="13" t="inlineStr"/>
    </row>
    <row r="308">
      <c r="A308" s="2" t="inlineStr">
        <is>
          <t>Un banco</t>
        </is>
      </c>
      <c r="B308" s="3" t="inlineStr">
        <is>
          <t>Otros</t>
        </is>
      </c>
      <c r="C308" s="6">
        <f>SUM(D308:H308)</f>
        <v/>
      </c>
      <c r="D308" s="3" t="n">
        <v>0</v>
      </c>
      <c r="E308" s="3" t="n">
        <v>1</v>
      </c>
      <c r="F308" s="3" t="n">
        <v>0</v>
      </c>
      <c r="G308" s="3" t="n">
        <v>0</v>
      </c>
      <c r="H308" s="3" t="n">
        <v>1</v>
      </c>
      <c r="I308" s="3" t="inlineStr">
        <is>
          <t>YA HAY (bases) - revisar</t>
        </is>
      </c>
      <c r="J308" s="7" t="inlineStr">
        <is>
          <t>LOBATOS - Actividad lobatos (Clan Ícaro - Charlie y David) (J-23/07 tarde 2): «Un banco»
RUTAS ICARO - Actividad para Lobatos (Charlie y David) (J-23/07): «Un banco»</t>
        </is>
      </c>
      <c r="K308" s="8" t="inlineStr"/>
      <c r="L308" s="8" t="inlineStr"/>
    </row>
    <row r="309">
      <c r="A309" s="9" t="inlineStr">
        <is>
          <t>Una caja de cartón</t>
        </is>
      </c>
      <c r="B309" s="10" t="inlineStr">
        <is>
          <t>Otros</t>
        </is>
      </c>
      <c r="C309" s="11">
        <f>SUM(D309:H309)</f>
        <v/>
      </c>
      <c r="D309" s="10" t="n">
        <v>0</v>
      </c>
      <c r="E309" s="10" t="n">
        <v>1</v>
      </c>
      <c r="F309" s="10" t="n">
        <v>0</v>
      </c>
      <c r="G309" s="10" t="n">
        <v>0</v>
      </c>
      <c r="H309" s="10" t="n">
        <v>0</v>
      </c>
      <c r="I309" s="10" t="inlineStr">
        <is>
          <t>YA HAY (bases) - revisar</t>
        </is>
      </c>
      <c r="J309" s="12" t="inlineStr">
        <is>
          <t>LOBATOS - Tipi indio - Miss y Mister (X-29/07 tarde): «Una caja de cartón»</t>
        </is>
      </c>
      <c r="K309" s="13" t="inlineStr"/>
      <c r="L309" s="13" t="inlineStr"/>
    </row>
    <row r="310">
      <c r="A310" s="2" t="inlineStr">
        <is>
          <t>Vasija</t>
        </is>
      </c>
      <c r="B310" s="3" t="inlineStr">
        <is>
          <t>Otros</t>
        </is>
      </c>
      <c r="C310" s="6">
        <f>SUM(D310:H310)</f>
        <v/>
      </c>
      <c r="D310" s="3" t="n">
        <v>0</v>
      </c>
      <c r="E310" s="3" t="n">
        <v>1</v>
      </c>
      <c r="F310" s="3" t="n">
        <v>0</v>
      </c>
      <c r="G310" s="3" t="n">
        <v>0</v>
      </c>
      <c r="H310" s="3" t="n">
        <v>0</v>
      </c>
      <c r="I310" s="3" t="inlineStr">
        <is>
          <t>YA HAY (bases) - revisar</t>
        </is>
      </c>
      <c r="J310" s="7" t="inlineStr">
        <is>
          <t>LOBATOS - GRUPAL: Barracas - El Gran Bazar (D-26/07 tarde): «Vasija»</t>
        </is>
      </c>
      <c r="K310" s="8" t="inlineStr"/>
      <c r="L310" s="8" t="inlineStr"/>
    </row>
    <row r="311">
      <c r="A311" s="9" t="inlineStr">
        <is>
          <t>Vasitos o cucharitas</t>
        </is>
      </c>
      <c r="B311" s="10" t="inlineStr">
        <is>
          <t>Otros</t>
        </is>
      </c>
      <c r="C311" s="11">
        <f>SUM(D311:H311)</f>
        <v/>
      </c>
      <c r="D311" s="10" t="n">
        <v>0</v>
      </c>
      <c r="E311" s="10" t="n">
        <v>1</v>
      </c>
      <c r="F311" s="10" t="n">
        <v>0</v>
      </c>
      <c r="G311" s="10" t="n">
        <v>0</v>
      </c>
      <c r="H311" s="10" t="n">
        <v>0</v>
      </c>
      <c r="I311" s="10" t="inlineStr">
        <is>
          <t>YA HAY (bases) - revisar</t>
        </is>
      </c>
      <c r="J311" s="12" t="inlineStr">
        <is>
          <t>LOBATOS - GRUPAL: Día guarro (X-22/07 día): «Vasitos o cucharitas»</t>
        </is>
      </c>
      <c r="K311" s="13" t="inlineStr"/>
      <c r="L311" s="13" t="inlineStr"/>
    </row>
    <row r="312">
      <c r="A312" s="2" t="inlineStr">
        <is>
          <t>Velas</t>
        </is>
      </c>
      <c r="B312" s="3" t="inlineStr">
        <is>
          <t>Iluminacion/electronica</t>
        </is>
      </c>
      <c r="C312" s="6">
        <f>SUM(D312:H312)</f>
        <v/>
      </c>
      <c r="D312" s="3" t="n">
        <v>0</v>
      </c>
      <c r="E312" s="3" t="n">
        <v>0</v>
      </c>
      <c r="F312" s="3" t="n">
        <v>0</v>
      </c>
      <c r="G312" s="3" t="n">
        <v>0</v>
      </c>
      <c r="H312" s="3" t="n">
        <v>4</v>
      </c>
      <c r="I312" s="3" t="inlineStr">
        <is>
          <t>COMPRAR</t>
        </is>
      </c>
      <c r="J312" s="7" t="inlineStr">
        <is>
          <t>RUTAS PANDORA - Línea de la vida (Volante noche): «Velas pequeñas (15)»
RUTAS PANDORA - PPV (velada) (V-24/07 noche): «Velas altas»
RUTAS ICARO - Línea de la vida (Volante noche): «Velas pequeñas (15)»
RUTAS ICARO - OLIMPIADAS (grupal) (X-29/07 mañana): «Velas»</t>
        </is>
      </c>
      <c r="K312" s="8" t="inlineStr"/>
      <c r="L312" s="8" t="inlineStr"/>
    </row>
    <row r="313">
      <c r="A313" s="9" t="inlineStr">
        <is>
          <t>Walkie-talkies</t>
        </is>
      </c>
      <c r="B313" s="10" t="inlineStr">
        <is>
          <t>Iluminacion/electronica</t>
        </is>
      </c>
      <c r="C313" s="11">
        <f>SUM(D313:H313)</f>
        <v/>
      </c>
      <c r="D313" s="10" t="n">
        <v>1</v>
      </c>
      <c r="E313" s="10" t="n">
        <v>1</v>
      </c>
      <c r="F313" s="10" t="n">
        <v>1</v>
      </c>
      <c r="G313" s="10" t="n">
        <v>0</v>
      </c>
      <c r="H313" s="10" t="n">
        <v>0</v>
      </c>
      <c r="I313" s="10" t="inlineStr">
        <is>
          <t>YA HAY (bases) - revisar</t>
        </is>
      </c>
      <c r="J313" s="12" t="inlineStr">
        <is>
          <t>CASTORES - Acampada volante (x3 días) (D-19 a M-21/07): «Chalecos y Walkie talkies»
LOBATOS - Ruta volante (x3 días) (D-19 a M-21/07): «Chalecos y Walkie talkies»
EXPLORADORES - Volante (x3 días) (D-19 a M-21/07): «Walkie-talkies»</t>
        </is>
      </c>
      <c r="K313" s="13" t="inlineStr"/>
      <c r="L313" s="13" t="inlineStr"/>
    </row>
  </sheetData>
  <autoFilter ref="A1:L313"/>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showDropDown="0" showInputMessage="0" showErrorMessage="0" allowBlank="1" type="list">
      <formula1>"COMPRAR,YA HAY (bases) - revisar,LO TRAE EL NINO,UNIDAD/COMISION,PEDIR A COCINA/MENU"</formula1>
    </dataValidation>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showDropDown="0" showInputMessage="0" showErrorMessage="0" allowBlank="1" type="list">
      <formula1>"Construccion/herramientas,Papeleria/manualidades,Juegos/deporte,Cocina/menaje,Iluminacion/electronica,Higiene/limpieza,Textil/disfraces,Impresiones/documentacion,Equipo campamento,Otros"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65" customWidth="1" min="3" max="3"/>
  </cols>
  <sheetData>
    <row r="1" ht="28" customHeight="1">
      <c r="A1" s="14" t="inlineStr">
        <is>
          <t>FECHA / MOMENTO</t>
        </is>
      </c>
      <c r="B1" s="14" t="inlineStr">
        <is>
          <t>ACTIVIDAD</t>
        </is>
      </c>
      <c r="C1" s="14" t="inlineStr">
        <is>
          <t>MATERIAL (literal del docx)</t>
        </is>
      </c>
    </row>
    <row r="2">
      <c r="A2" s="7" t="inlineStr">
        <is>
          <t>J-16/07 mañana</t>
        </is>
      </c>
      <c r="B2" s="15" t="inlineStr">
        <is>
          <t>Montaje de tiendas</t>
        </is>
      </c>
      <c r="C2" s="7" t="inlineStr">
        <is>
          <t>Tienda de campaña x2
Listones
Tablas de madera
Cuerda pita- 2 rollos
Tijeras de punta redonda
Martillo de goma
Lona + segunda estructura de tienda (mochilero)
Listones de los viejos para estructuras y mástil
Bandera de castores
Poleas para banderas
Imperdibles x4</t>
        </is>
      </c>
    </row>
    <row r="3">
      <c r="A3" s="12" t="inlineStr">
        <is>
          <t>J-16/07 tarde 1</t>
        </is>
      </c>
      <c r="B3" s="16" t="inlineStr">
        <is>
          <t>Organizar mochilero</t>
        </is>
      </c>
      <c r="C3" s="12" t="inlineStr">
        <is>
          <t>Cajas grandes de cartón del chino por niño +3</t>
        </is>
      </c>
    </row>
    <row r="4">
      <c r="A4" s="7" t="inlineStr">
        <is>
          <t>J-16/07 tarde 2</t>
        </is>
      </c>
      <c r="B4" s="15" t="inlineStr">
        <is>
          <t>Normas de campamento + juegos</t>
        </is>
      </c>
      <c r="C4" s="7" t="inlineStr">
        <is>
          <t>Papel continuo 1m x 1m
Rotuladores
Celo gordo
Tela pequeña o pañoleta (pañuelito)
Balón</t>
        </is>
      </c>
    </row>
    <row r="5">
      <c r="A5" s="12" t="inlineStr">
        <is>
          <t>V-17/07 mañana</t>
        </is>
      </c>
      <c r="B5" s="16" t="inlineStr">
        <is>
          <t>Construcciones zona común</t>
        </is>
      </c>
      <c r="C5" s="12" t="inlineStr">
        <is>
          <t>Listones
Tablas de madera
Cuerda pita- 2 rollos
Tijeras de punta redonda
Martillo de goma
Listones de los viejos para estructuras y mástil
Bandera de castores
Poleas para banderas
Imperdibles x4</t>
        </is>
      </c>
    </row>
    <row r="6">
      <c r="A6" s="7" t="inlineStr">
        <is>
          <t>V-17/07 tarde</t>
        </is>
      </c>
      <c r="B6" s="15" t="inlineStr">
        <is>
          <t>Taller insignias</t>
        </is>
      </c>
      <c r="C6" s="7" t="inlineStr">
        <is>
          <t>Goma eva de colores
Imperdibles
Pompones pequeños
Tijeras
Pegamentos
Silicona líquida para pegar los imperdibles</t>
        </is>
      </c>
    </row>
    <row r="7">
      <c r="A7" s="12" t="inlineStr">
        <is>
          <t>V-17/07 tarde 2</t>
        </is>
      </c>
      <c r="B7" s="16" t="inlineStr">
        <is>
          <t>T.E.G.A. (Torneo de Globos)</t>
        </is>
      </c>
      <c r="C7" s="12" t="inlineStr">
        <is>
          <t>Papel plastificado (lo lleva la comisión)
Celo
150 globos
4 tobilleras de gimnasio o similares (ref Temu en el doc)</t>
        </is>
      </c>
    </row>
    <row r="8">
      <c r="A8" s="7" t="inlineStr">
        <is>
          <t>V-17/07 noche</t>
        </is>
      </c>
      <c r="B8" s="15" t="inlineStr">
        <is>
          <t>Rastreo nocturno</t>
        </is>
      </c>
      <c r="C8" s="7" t="inlineStr">
        <is>
          <t>Cintas reflectantes amarillas
Cintas reflectantes naranjas
Paquete de sobres
Leyendas de las constelaciones (comisión) - imprimir antes</t>
        </is>
      </c>
    </row>
    <row r="9">
      <c r="A9" s="12" t="inlineStr">
        <is>
          <t>S-18/07 tarde 1</t>
        </is>
      </c>
      <c r="B9" s="16" t="inlineStr">
        <is>
          <t>Gran Juego: El Taj perdido (con Lobatos)</t>
        </is>
      </c>
      <c r="C9" s="12" t="inlineStr">
        <is>
          <t>Témperas (colores a concretar)
Taj Mahal impreso (se encarga la unidad)
Pinceles
Papel seda de colores
Folios
Balde
Agua
Goma eva de colores (vale con recortes)
Pajitas
Arco
Papel continuo 1x1</t>
        </is>
      </c>
    </row>
    <row r="10">
      <c r="A10" s="7" t="inlineStr">
        <is>
          <t>S-18/07 tarde 2</t>
        </is>
      </c>
      <c r="B10" s="15" t="inlineStr">
        <is>
          <t>Hacer mochilas acampada volante</t>
        </is>
      </c>
      <c r="C10" s="7" t="inlineStr">
        <is>
          <t>Mochilas de cada castor
Ropa
Papel continuo
Rotuladores</t>
        </is>
      </c>
    </row>
    <row r="11">
      <c r="A11" s="12" t="inlineStr">
        <is>
          <t>S-18/07 noche</t>
        </is>
      </c>
      <c r="B11" s="16" t="inlineStr">
        <is>
          <t>Taller constelaciones</t>
        </is>
      </c>
      <c r="C11" s="12" t="inlineStr">
        <is>
          <t>Aislantes
3 mantas
Puntero láser
Altavoz (música relajante)
Texto reflexión 'El Tren de los Sueños de Plata' (imprimir)
Imagen de constelaciones (imprimir)
Frontal o linterna del móvil</t>
        </is>
      </c>
    </row>
    <row r="12">
      <c r="A12" s="7" t="inlineStr">
        <is>
          <t>D-19 a M-21/07</t>
        </is>
      </c>
      <c r="B12" s="15" t="inlineStr">
        <is>
          <t>Acampada volante (x3 días)</t>
        </is>
      </c>
      <c r="C12" s="7" t="inlineStr">
        <is>
          <t>Lumi gas
Comida del día (menú de volantes)
Botiquín
Chalecos y Walkie talkies
Gorras y cantimploras
Cazuela y cuchara de madera
Mechero
Crema solar
Bolsas de basura
Fairy
Estropajo
Títulos fotocopia
Tarjetas sanitarias niños</t>
        </is>
      </c>
    </row>
    <row r="13">
      <c r="A13" s="12" t="inlineStr">
        <is>
          <t>D-19/07 tarde</t>
        </is>
      </c>
      <c r="B13" s="16" t="inlineStr">
        <is>
          <t>Taller relajación/yoga</t>
        </is>
      </c>
      <c r="C13" s="12" t="inlineStr">
        <is>
          <t>Esterillas</t>
        </is>
      </c>
    </row>
    <row r="14">
      <c r="A14" s="7" t="inlineStr">
        <is>
          <t>M-21/07 tarde 1</t>
        </is>
      </c>
      <c r="B14" s="15" t="inlineStr">
        <is>
          <t>Entrenamiento Caza Gamusino</t>
        </is>
      </c>
      <c r="C14" s="7" t="inlineStr">
        <is>
          <t>Bolsas de basura
Pinturas de cara
Rotuladores
Palitos luminosos x3
Casquería (texturas, en descripción)</t>
        </is>
      </c>
    </row>
    <row r="15">
      <c r="A15" s="12" t="inlineStr">
        <is>
          <t>M-21/07 tarde 2</t>
        </is>
      </c>
      <c r="B15" s="16" t="inlineStr">
        <is>
          <t>Taller de tortitas (con Exploradores)</t>
        </is>
      </c>
      <c r="C15" s="12" t="inlineStr">
        <is>
          <t>Camping gas x4
Sartén x4
Bol grande x4
Varillas de mano (o tenedores) x4
Cazo para servir x4
Espátula x4
Toppings: Nocilla x3, chocolate x3, mermelada x4 botes
Medidas por niño: Harina 80-100g, Leche 100-120ml, 1/2 huevo, 1 cda azúcar, dado de mantequilla, pizca levadura en polvo, pizca de sal</t>
        </is>
      </c>
    </row>
    <row r="16">
      <c r="A16" s="7" t="inlineStr">
        <is>
          <t>M-21/07 tarde 2b</t>
        </is>
      </c>
      <c r="B16" s="15" t="inlineStr">
        <is>
          <t>Taller pulseras (lo dan Exploradores)</t>
        </is>
      </c>
      <c r="C16" s="7" t="inlineStr">
        <is>
          <t>Cordino (1.5 m por participante)</t>
        </is>
      </c>
    </row>
    <row r="17">
      <c r="A17" s="12" t="inlineStr">
        <is>
          <t>M-21/07 noche</t>
        </is>
      </c>
      <c r="B17" s="16" t="inlineStr">
        <is>
          <t>Caza Gamusino</t>
        </is>
      </c>
      <c r="C17" s="12" t="inlineStr">
        <is>
          <t>6 sacos de tela
Frontales
Ropa oscura</t>
        </is>
      </c>
    </row>
    <row r="18">
      <c r="A18" s="7" t="inlineStr">
        <is>
          <t>X-22/07 tarde 1</t>
        </is>
      </c>
      <c r="B18" s="15" t="inlineStr">
        <is>
          <t>Diseño de camisetas</t>
        </is>
      </c>
      <c r="C18" s="7" t="inlineStr">
        <is>
          <t>Camiseta blanca o básica (cada castor debe llevar una)
Pintura para telas
Gomas de plástico
Bolsas de plástico (en descripción, para reposar las camisetas)</t>
        </is>
      </c>
    </row>
    <row r="19">
      <c r="A19" s="12" t="inlineStr">
        <is>
          <t>X-22/07 tarde 2</t>
        </is>
      </c>
      <c r="B19" s="16" t="inlineStr">
        <is>
          <t>Actividad Clan Ícaro</t>
        </is>
      </c>
      <c r="C19" s="12" t="inlineStr">
        <is>
          <t>Cartulina
Rotuladores
Papel y boli</t>
        </is>
      </c>
    </row>
    <row r="20">
      <c r="A20" s="7" t="inlineStr">
        <is>
          <t>X-22/07 noche</t>
        </is>
      </c>
      <c r="B20" s="15" t="inlineStr">
        <is>
          <t>Juegos de mesa</t>
        </is>
      </c>
      <c r="C20" s="7" t="inlineStr">
        <is>
          <t>Juegos de mesa de las bases</t>
        </is>
      </c>
    </row>
    <row r="21">
      <c r="A21" s="12" t="inlineStr">
        <is>
          <t>J-23/07 mañana</t>
        </is>
      </c>
      <c r="B21" s="16" t="inlineStr">
        <is>
          <t>Taller de cocina - Nariyal Ladoo</t>
        </is>
      </c>
      <c r="C21" s="12" t="inlineStr">
        <is>
          <t>2-3 morteros (los que haya)
2 hornillos
2 cazuelas medianas
Fruta en almíbar sobrante
Compra (20 niños): Coco rallado 1kg
Leche condensada 2 botes grandes (740g)
Granadina 1 botella
Mantequilla 1 bote
Cardamomo 2 botes de semillas (o 1 en polvo)</t>
        </is>
      </c>
    </row>
    <row r="22">
      <c r="A22" s="7" t="inlineStr">
        <is>
          <t>J-23/07 tarde 1</t>
        </is>
      </c>
      <c r="B22" s="15" t="inlineStr">
        <is>
          <t>Progresión Personal (mandalas)</t>
        </is>
      </c>
      <c r="C22" s="7" t="inlineStr">
        <is>
          <t>Plantillas de mandalas circulares (comisión, imprimir antes)
Lápices de colores o ceras</t>
        </is>
      </c>
    </row>
    <row r="23">
      <c r="A23" s="12" t="inlineStr">
        <is>
          <t>V-24/07 mañana</t>
        </is>
      </c>
      <c r="B23" s="16" t="inlineStr">
        <is>
          <t>Actividad de agua: El descenso del Ganges</t>
        </is>
      </c>
      <c r="C23" s="12" t="inlineStr">
        <is>
          <t>4 garrafas de agua (da igual tamaño)
4 botellas pequeñas
Gomas elásticas (paquete)
Palillos largos (bases)
Cartulina blanca A4
Témperas y 10 pinceles
Tijeras
Cola blanca 2 botes
4 cubos
2 barreños
2 sillas
Canicas
20 esponjas de las que pesan con agua</t>
        </is>
      </c>
    </row>
    <row r="24">
      <c r="A24" s="7" t="inlineStr">
        <is>
          <t>V-24/07 noche</t>
        </is>
      </c>
      <c r="B24" s="15" t="inlineStr">
        <is>
          <t>Consejo de troncos</t>
        </is>
      </c>
      <c r="C24" s="7" t="inlineStr">
        <is>
          <t>Lumi y bombona
Bandera
Tótem 'Paco'
Tronquitos (se encarga la unidad)
Cuadernos
Chapa naranja (vueltas de pañoleta)
Insignia de arat
Insignia del tronco (promesa)
Gorro castor
Awen (peluche castor)</t>
        </is>
      </c>
    </row>
    <row r="25">
      <c r="A25" s="12" t="inlineStr">
        <is>
          <t>S-25/07 tarde 1</t>
        </is>
      </c>
      <c r="B25" s="16" t="inlineStr">
        <is>
          <t>Taller de arcilla</t>
        </is>
      </c>
      <c r="C25" s="12" t="inlineStr">
        <is>
          <t>X kilos de arcilla (AÑADIR CUANDO SE SEPA Nº DE NIÑOS)
Bolsas de basura para tapar mesas
Botes de témperas
Pinceles
Caja de palillos
Cuerda pita (por si alguno hace collar)
Imágenes de amuletos impresas (en descripción)</t>
        </is>
      </c>
    </row>
    <row r="26">
      <c r="A26" s="7" t="inlineStr">
        <is>
          <t>S-25/07 tarde 2</t>
        </is>
      </c>
      <c r="B26" s="15" t="inlineStr">
        <is>
          <t>Hacer mochilas para día de padres</t>
        </is>
      </c>
      <c r="C26" s="7" t="inlineStr">
        <is>
          <t>Mochilas niños
Cajas de ropa
Bolsas de basura para ropa y cosas perdidas</t>
        </is>
      </c>
    </row>
    <row r="27">
      <c r="A27" s="12" t="inlineStr">
        <is>
          <t>S-25/07 noche</t>
        </is>
      </c>
      <c r="B27" s="16" t="inlineStr">
        <is>
          <t>Juegos nocturnos (stalking)</t>
        </is>
      </c>
      <c r="C27" s="12" t="inlineStr">
        <is>
          <t>Silbato
Pañoletas
Linternas</t>
        </is>
      </c>
    </row>
    <row r="28">
      <c r="A28" s="7" t="inlineStr">
        <is>
          <t>D-26/07 (lluvia)</t>
        </is>
      </c>
      <c r="B28" s="15" t="inlineStr">
        <is>
          <t>Lluvia: Flipbook</t>
        </is>
      </c>
      <c r="C28" s="7" t="inlineStr">
        <is>
          <t>Folios
Rotuladores
Grapadora</t>
        </is>
      </c>
    </row>
    <row r="29">
      <c r="A29" s="12" t="inlineStr">
        <is>
          <t>Lluvia</t>
        </is>
      </c>
      <c r="B29" s="16" t="inlineStr">
        <is>
          <t>Lluvia: Pintar piedras</t>
        </is>
      </c>
      <c r="C29" s="12" t="inlineStr">
        <is>
          <t>Rotuladores algo gorditos y normales</t>
        </is>
      </c>
    </row>
    <row r="30">
      <c r="A30" s="7" t="inlineStr">
        <is>
          <t>Lluvia</t>
        </is>
      </c>
      <c r="B30" s="15" t="inlineStr">
        <is>
          <t>Lluvia: Carteles con letras chinas</t>
        </is>
      </c>
      <c r="C30" s="7" t="inlineStr">
        <is>
          <t>Telas blancas (2 por niño, tamaño bufanda)
Pintura de manos negra
Imágenes impresas de letras chinas</t>
        </is>
      </c>
    </row>
    <row r="31">
      <c r="A31" s="12" t="inlineStr">
        <is>
          <t>Bolsa de juegos</t>
        </is>
      </c>
      <c r="B31" s="16" t="inlineStr">
        <is>
          <t>Cuento de imágenes</t>
        </is>
      </c>
      <c r="C31" s="12" t="inlineStr">
        <is>
          <t>Folios
Tijeras
Grapadora
Bolis</t>
        </is>
      </c>
    </row>
    <row r="32">
      <c r="A32" s="7" t="inlineStr">
        <is>
          <t>Bolsa de juegos</t>
        </is>
      </c>
      <c r="B32" s="15" t="inlineStr">
        <is>
          <t>Taller de sobres y cartas</t>
        </is>
      </c>
      <c r="C32" s="7" t="inlineStr">
        <is>
          <t>Cartulinas de colores A4 (1 por niño)
Folios
Bolis (1 por niño)
Sellos (1 por niño)
Gomets o pegatinas de las bases</t>
        </is>
      </c>
    </row>
    <row r="33">
      <c r="A33" s="12" t="inlineStr">
        <is>
          <t>Bolsa de juegos</t>
        </is>
      </c>
      <c r="B33" s="16" t="inlineStr">
        <is>
          <t>Dinámica abanico</t>
        </is>
      </c>
      <c r="C33" s="12" t="inlineStr">
        <is>
          <t>Folios
Rotuladores
Bolis</t>
        </is>
      </c>
    </row>
    <row r="34">
      <c r="A34" s="7" t="inlineStr">
        <is>
          <t>Bolsa de juegos</t>
        </is>
      </c>
      <c r="B34" s="15" t="inlineStr">
        <is>
          <t>Taller pintar piedras</t>
        </is>
      </c>
      <c r="C34" s="7" t="inlineStr">
        <is>
          <t>Pinceles y témperas</t>
        </is>
      </c>
    </row>
    <row r="35">
      <c r="A35" s="12" t="inlineStr">
        <is>
          <t>Bolsa de juegos</t>
        </is>
      </c>
      <c r="B35" s="16" t="inlineStr">
        <is>
          <t>Talleres pinza</t>
        </is>
      </c>
      <c r="C35" s="12" t="inlineStr">
        <is>
          <t>Pinzas
Goma eva
Cartulina
Pegamento de goma eva
Lápices y gomas</t>
        </is>
      </c>
    </row>
    <row r="36">
      <c r="A36" s="7" t="inlineStr">
        <is>
          <t>19-21/07</t>
        </is>
      </c>
      <c r="B36" s="15" t="inlineStr">
        <is>
          <t>MENÚ VOLANTE (para 14: 12 castores + 2 GC)</t>
        </is>
      </c>
      <c r="C36" s="7" t="inlineStr">
        <is>
          <t>Manzanas 14
Filetes de lomo 70
Tranchetes 32
Paté 5 latas
Noodles 10 paquetes
Salchichas 8 paquetes
Leche deshidratada para 8L
Cola Cao a ojo
Galletas 14 rulos
Pasta carbonara 9 paquetes
Nocilla 2 botes
Sopa 5 sobres
Salchichón 1 rulo
Tang 3 sobres de cada sabor
Frutos secos variados
Leche condensada antigoteo 2 botes
Bolsas zip 1 paquete
Sal en papel albal
Fairy
Estropajo
Pan 4 barras
A mayores: bolsas de basura, papel albal, chalecos, papel higiénico, 1 cazuela grande o 2 pequeñas, cuchara de madera, 1 quemador y 1 bombona pequeña desechables, mechero, botiquín, walkie talkies, plato/poto/cubiertos GC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2" customWidth="1" min="1" max="1"/>
    <col width="51" customWidth="1" min="2" max="2"/>
    <col width="65" customWidth="1" min="3" max="3"/>
  </cols>
  <sheetData>
    <row r="1" ht="28" customHeight="1">
      <c r="A1" s="14" t="inlineStr">
        <is>
          <t>FECHA / MOMENTO</t>
        </is>
      </c>
      <c r="B1" s="14" t="inlineStr">
        <is>
          <t>ACTIVIDAD</t>
        </is>
      </c>
      <c r="C1" s="14" t="inlineStr">
        <is>
          <t>MATERIAL (literal del docx)</t>
        </is>
      </c>
    </row>
    <row r="2">
      <c r="A2" s="7" t="inlineStr">
        <is>
          <t>J-16/07 mañana</t>
        </is>
      </c>
      <c r="B2" s="15" t="inlineStr">
        <is>
          <t>Montaje</t>
        </is>
      </c>
      <c r="C2" s="7" t="inlineStr">
        <is>
          <t>Tiendas
Hierros
Tablas
Listones
Piquetas
Mazas</t>
        </is>
      </c>
    </row>
    <row r="3">
      <c r="A3" s="12" t="inlineStr">
        <is>
          <t>J-16/07 tarde 1</t>
        </is>
      </c>
      <c r="B3" s="16" t="inlineStr">
        <is>
          <t>Construcción de parcela</t>
        </is>
      </c>
      <c r="C3" s="12" t="inlineStr">
        <is>
          <t>Listones
Elementos de la naturaleza
Mazas
Cuerda pita
Clavos</t>
        </is>
      </c>
    </row>
    <row r="4">
      <c r="A4" s="7" t="inlineStr">
        <is>
          <t>J-16/07 tarde 2</t>
        </is>
      </c>
      <c r="B4" s="15" t="inlineStr">
        <is>
          <t>Juegos</t>
        </is>
      </c>
      <c r="C4" s="7" t="inlineStr">
        <is>
          <t>Conos chinos
Balón goma espuma
Pañoletas</t>
        </is>
      </c>
    </row>
    <row r="5">
      <c r="A5" s="12" t="inlineStr">
        <is>
          <t>V-17/07 mañana</t>
        </is>
      </c>
      <c r="B5" s="16" t="inlineStr">
        <is>
          <t>Juegos India</t>
        </is>
      </c>
      <c r="C5" s="12" t="inlineStr">
        <is>
          <t>Pinturas cara pintacaras (de pincel, no de pinturilla)
Fieltro marrón oscuro x4 láminas A3 (bandas de flecos indias)
Telas de las bases
Piedras (de la campa)
Una cazuela
Pelota de tenis
Parchís y fichas x3
Incienso</t>
        </is>
      </c>
    </row>
    <row r="6">
      <c r="A6" s="7" t="inlineStr">
        <is>
          <t>V-17/07 tarde 1</t>
        </is>
      </c>
      <c r="B6" s="15" t="inlineStr">
        <is>
          <t>Territorios</t>
        </is>
      </c>
      <c r="C6" s="7" t="inlineStr">
        <is>
          <t>Cartulinas A4
Dos fotos (a mayores, no de los niños)
Cuerda pita (1m)
Papel albal
Precinto</t>
        </is>
      </c>
    </row>
    <row r="7">
      <c r="A7" s="12" t="inlineStr">
        <is>
          <t>V-17/07 tarde 2</t>
        </is>
      </c>
      <c r="B7" s="16" t="inlineStr">
        <is>
          <t>De aventura en la India</t>
        </is>
      </c>
      <c r="C7" s="12" t="inlineStr">
        <is>
          <t>Pañoleta
Aros
Bancos
Comba
Conos chinos
Pelota blanda</t>
        </is>
      </c>
    </row>
    <row r="8">
      <c r="A8" s="7" t="inlineStr">
        <is>
          <t>V-17/07 noche</t>
        </is>
      </c>
      <c r="B8" s="15" t="inlineStr">
        <is>
          <t>Juegos nocturnos</t>
        </is>
      </c>
      <c r="C8" s="7" t="inlineStr">
        <is>
          <t>Frontales
Silbatos
Objetos varios que se cojan de material</t>
        </is>
      </c>
    </row>
    <row r="9">
      <c r="A9" s="12" t="inlineStr">
        <is>
          <t>S-18/07 tarde 1</t>
        </is>
      </c>
      <c r="B9" s="16" t="inlineStr">
        <is>
          <t>El Taj perdido (con Castores)</t>
        </is>
      </c>
      <c r="C9" s="12" t="inlineStr">
        <is>
          <t>Témperas
Taj Mahal impreso (se encarga la unidad)
Pinceles
Papel seda de colores
Folios
Balde
Agua
Goma eva de colores (recortes)
Pajitas
Arco
Papel continuo 1x1</t>
        </is>
      </c>
    </row>
    <row r="10">
      <c r="A10" s="7" t="inlineStr">
        <is>
          <t>S-18/07 tarde 2</t>
        </is>
      </c>
      <c r="B10" s="15" t="inlineStr">
        <is>
          <t>Preparación mochila</t>
        </is>
      </c>
      <c r="C10" s="7" t="inlineStr">
        <is>
          <t>Papel continuo
Rotulador
Bolsas de basura grande 1 x niño
Bolsa de basura mediana 1 x niño</t>
        </is>
      </c>
    </row>
    <row r="11">
      <c r="A11" s="12" t="inlineStr">
        <is>
          <t>D-19 a M-21/07</t>
        </is>
      </c>
      <c r="B11" s="16" t="inlineStr">
        <is>
          <t>Ruta volante (x3 días)</t>
        </is>
      </c>
      <c r="C11" s="12" t="inlineStr">
        <is>
          <t>Mapas 312-I, 315-II, 315-IV, 316-III
Lumi gas
Comida del día (menú de volantes)
Botiquín
Chalecos y Walkie talkies
Gorras y cantimploras
Cazuela y cuchara de madera
Mechero
Crema solar
Bolsas de basura
Papel higiénico
Fairy
Estropajo
Títulos fotocopia
Tarjetas sanitarias niños</t>
        </is>
      </c>
    </row>
    <row r="12">
      <c r="A12" s="7" t="inlineStr">
        <is>
          <t>D-19/07 tarde</t>
        </is>
      </c>
      <c r="B12" s="15" t="inlineStr">
        <is>
          <t>Taller de pulseras</t>
        </is>
      </c>
      <c r="C12" s="7" t="inlineStr">
        <is>
          <t>Hilo coreano de diferentes colores (3 m x niño)
Celo
Tijeras</t>
        </is>
      </c>
    </row>
    <row r="13">
      <c r="A13" s="12" t="inlineStr">
        <is>
          <t>L-20/07 tarde</t>
        </is>
      </c>
      <c r="B13" s="16" t="inlineStr">
        <is>
          <t>ILLRA</t>
        </is>
      </c>
      <c r="C13" s="12" t="inlineStr">
        <is>
          <t>Silbato monitores
Folios
Bolígrafos
Gorra/Bolsa
Puño de mono (ganador)
Cartulina para el himno
Agua (cada uno su cantimplora)</t>
        </is>
      </c>
    </row>
    <row r="14">
      <c r="A14" s="7" t="inlineStr">
        <is>
          <t>M-21/07 tarde 1</t>
        </is>
      </c>
      <c r="B14" s="15" t="inlineStr">
        <is>
          <t>Bailes tradicionales indios + país</t>
        </is>
      </c>
      <c r="C14" s="7" t="inlineStr">
        <is>
          <t>Telas
Mandalas (20)
Rotuladores, pinturas, ceras
Altavoz
Música india</t>
        </is>
      </c>
    </row>
    <row r="15">
      <c r="A15" s="12" t="inlineStr">
        <is>
          <t>M-21/07 tarde 2</t>
        </is>
      </c>
      <c r="B15" s="16" t="inlineStr">
        <is>
          <t>Taller de relajación</t>
        </is>
      </c>
      <c r="C15" s="12" t="inlineStr">
        <is>
          <t>Crema hidratante
Altavoz
Esterillas de los niños</t>
        </is>
      </c>
    </row>
    <row r="16">
      <c r="A16" s="7" t="inlineStr">
        <is>
          <t>M-21/07 noche</t>
        </is>
      </c>
      <c r="B16" s="15" t="inlineStr">
        <is>
          <t>Teleclub</t>
        </is>
      </c>
      <c r="C16" s="7" t="inlineStr">
        <is>
          <t>Juegos de mesa
Folios
Bolígrafos</t>
        </is>
      </c>
    </row>
    <row r="17">
      <c r="A17" s="12" t="inlineStr">
        <is>
          <t>X-22/07 tarde</t>
        </is>
      </c>
      <c r="B17" s="16" t="inlineStr">
        <is>
          <t>El amuleto del elefante sagrado (orientación)</t>
        </is>
      </c>
      <c r="C17" s="12" t="inlineStr">
        <is>
          <t>5 brújulas
Balón blando
Folios
5 bolígrafos
Abalorios grandes y pequeños de distintos colores (7 bolsas, si son pequeñas más)
Cuerda de pulsera de encoger y estirar negra</t>
        </is>
      </c>
    </row>
    <row r="18">
      <c r="A18" s="7" t="inlineStr">
        <is>
          <t>X-22/07 noche</t>
        </is>
      </c>
      <c r="B18" s="15" t="inlineStr">
        <is>
          <t>Taller de estrellas</t>
        </is>
      </c>
      <c r="C18" s="7" t="inlineStr">
        <is>
          <t>20 cartulinas negras
15 pinturas blancas
Cuerda pita
Pinzas de madera
Esterillas
Altavoz</t>
        </is>
      </c>
    </row>
    <row r="19">
      <c r="A19" s="12" t="inlineStr">
        <is>
          <t>J-23/07 mañana</t>
        </is>
      </c>
      <c r="B19" s="16" t="inlineStr">
        <is>
          <t>Voluntariado conjunto Lobatos-Pioneros</t>
        </is>
      </c>
      <c r="C19" s="12" t="inlineStr">
        <is>
          <t>(Lo trae el niño) Botella de agua
Gorra
Mochila
Comida
Ropa cómoda
Camiseta de cambio
Calzado montaña
Protector solar
Botiquín
Guantes
Bolsas de basura</t>
        </is>
      </c>
    </row>
    <row r="20">
      <c r="A20" s="7" t="inlineStr">
        <is>
          <t>J-23/07 día</t>
        </is>
      </c>
      <c r="B20" s="15" t="inlineStr">
        <is>
          <t>Piscina pueblo (con Pioneros)</t>
        </is>
      </c>
      <c r="C20" s="7" t="inlineStr">
        <is>
          <t>(Lo trae el niño) 2 bañadores
Toalla
Chanclas
Gorro de baño
Gafas de natación
Peine
Bolsa ropa mojada
Protector solar
Gorra
Gafas de sol
Botella de agua
Cartas para jugar
Comida al pueblo (bocadillo)</t>
        </is>
      </c>
    </row>
    <row r="21">
      <c r="A21" s="12" t="inlineStr">
        <is>
          <t>J-23/07 tarde 2</t>
        </is>
      </c>
      <c r="B21" s="16" t="inlineStr">
        <is>
          <t>Actividad lobatos (Clan Ícaro - Charlie y David)</t>
        </is>
      </c>
      <c r="C21" s="12" t="inlineStr">
        <is>
          <t>Set de petanca
Discos para lanzar
Cuerda (gorda mejor) y una rueda/algo que pese
Un banco
Botellas/conos/cosas que se caigan
Un palo/algo para meter aros
Aros</t>
        </is>
      </c>
    </row>
    <row r="22">
      <c r="A22" s="7" t="inlineStr">
        <is>
          <t>V-24/07 mañana</t>
        </is>
      </c>
      <c r="B22" s="15" t="inlineStr">
        <is>
          <t>Gymkana de agua</t>
        </is>
      </c>
      <c r="C22" s="7" t="inlineStr">
        <is>
          <t>Lona grande o plástico resistente
Jabón líquido o detergente suave
Cubos de agua 6
Globos de agua 100
Churros
Conos
Vasos de plástico 6
Cucharas de plástico
Pelotas de pin pon 10
Tapones 6</t>
        </is>
      </c>
    </row>
    <row r="23">
      <c r="A23" s="12" t="inlineStr">
        <is>
          <t>V-24/07 tarde 1</t>
        </is>
      </c>
      <c r="B23" s="16" t="inlineStr">
        <is>
          <t>Clan Ícaro: brújula casera y potabilizar</t>
        </is>
      </c>
      <c r="C23" s="12" t="inlineStr">
        <is>
          <t>Brújulas
Papel
Bolis
Pañoleta con tochos
Camping gas
Mechero
Harina
Sal
Agua
Lona
Cuerda
Piquetas
Botella de plástico
Arena fina
Arena gruesa
Carbón vegetal</t>
        </is>
      </c>
    </row>
    <row r="24">
      <c r="A24" s="7" t="inlineStr">
        <is>
          <t>V-24/07 tarde 2</t>
        </is>
      </c>
      <c r="B24" s="15" t="inlineStr">
        <is>
          <t>Sport &amp; Scouts (con Exploradores)</t>
        </is>
      </c>
      <c r="C24" s="7" t="inlineStr">
        <is>
          <t>2 balones de fútbol
6 conos
2 toallas
Cuerda pita y lona</t>
        </is>
      </c>
    </row>
    <row r="25">
      <c r="A25" s="12" t="inlineStr">
        <is>
          <t>V-24/07 noche</t>
        </is>
      </c>
      <c r="B25" s="16" t="inlineStr">
        <is>
          <t>Roca del Consejo</t>
        </is>
      </c>
      <c r="C25" s="12" t="inlineStr">
        <is>
          <t>Bandera de lobatos
2 lumis
Akela
Sangre de toro</t>
        </is>
      </c>
    </row>
    <row r="26">
      <c r="A26" s="7" t="inlineStr">
        <is>
          <t>S-25/07 mañana</t>
        </is>
      </c>
      <c r="B26" s="15" t="inlineStr">
        <is>
          <t>Promesas + progresión personal</t>
        </is>
      </c>
      <c r="C26" s="7" t="inlineStr">
        <is>
          <t>Cuaderno de caza
Bolsas de seisenas
Bolígrafos
Insignias territorios</t>
        </is>
      </c>
    </row>
    <row r="27">
      <c r="A27" s="12" t="inlineStr">
        <is>
          <t>S-25/07 tarde 1</t>
        </is>
      </c>
      <c r="B27" s="16" t="inlineStr">
        <is>
          <t>Taller de tortilla de patata</t>
        </is>
      </c>
      <c r="C27" s="12" t="inlineStr">
        <is>
          <t>4 sartenes grandes
4 boles grandes
6 cuchillos
4 peladores de patatas
4 tablas de cortar
1 plato grande o tapa
4 platos grandes
4 tenedores
Papel de cocina
Ingredientes (para 5 niños): 6 huevos, 4 patatas medianas, media cebolla, aceite de oliva y sal (calcular con nº de lobatos)</t>
        </is>
      </c>
    </row>
    <row r="28">
      <c r="A28" s="7" t="inlineStr">
        <is>
          <t>S-25/07 tarde 2</t>
        </is>
      </c>
      <c r="B28" s="15" t="inlineStr">
        <is>
          <t>Lobatolimpiadas</t>
        </is>
      </c>
      <c r="C28" s="7" t="inlineStr">
        <is>
          <t>Palo de escoba
Conos chinos
Pelota volley
Pintura acrílica
Cola de ratón x2
Lámina goma eva dorada brillantina A4</t>
        </is>
      </c>
    </row>
    <row r="29">
      <c r="A29" s="12" t="inlineStr">
        <is>
          <t>S-25/07 noche</t>
        </is>
      </c>
      <c r="B29" s="16" t="inlineStr">
        <is>
          <t>Lobatolimpiadas mentales</t>
        </is>
      </c>
      <c r="C29" s="12" t="inlineStr">
        <is>
          <t>Piezas de metal de las bases que encajan
Papel
Bolis</t>
        </is>
      </c>
    </row>
    <row r="30">
      <c r="A30" s="7" t="inlineStr">
        <is>
          <t>D-26/07 noche</t>
        </is>
      </c>
      <c r="B30" s="15" t="inlineStr">
        <is>
          <t>Velada de humor</t>
        </is>
      </c>
      <c r="C30" s="7" t="inlineStr">
        <is>
          <t>Saco con cosas para teatrillos (del campamento)
Folios
Bolígrafos</t>
        </is>
      </c>
    </row>
    <row r="31">
      <c r="A31" s="12" t="inlineStr">
        <is>
          <t>L-27/07 mañana</t>
        </is>
      </c>
      <c r="B31" s="16" t="inlineStr">
        <is>
          <t>Poza</t>
        </is>
      </c>
      <c r="C31" s="12" t="inlineStr">
        <is>
          <t>Pelota de voleibol
Esponjas x10</t>
        </is>
      </c>
    </row>
    <row r="32">
      <c r="A32" s="7" t="inlineStr">
        <is>
          <t>L-27/07 tarde 1</t>
        </is>
      </c>
      <c r="B32" s="15" t="inlineStr">
        <is>
          <t>Atrapasueños</t>
        </is>
      </c>
      <c r="C32" s="7" t="inlineStr">
        <is>
          <t>Platos de cartón blancos
Tijeras
Rotuladores
Cinta de regalo (mucha)
Folios de colores
Abalorios
Estrellas, pegatinas, bolitas de lana, etc.</t>
        </is>
      </c>
    </row>
    <row r="33">
      <c r="A33" s="12" t="inlineStr">
        <is>
          <t>L-27/07 tarde-noche</t>
        </is>
      </c>
      <c r="B33" s="16" t="inlineStr">
        <is>
          <t>Picoteo al estilo lobato</t>
        </is>
      </c>
      <c r="C33" s="12" t="inlineStr">
        <is>
          <t>Platos
Bebidas (2 coca-cola, agua, 1 fanta naranja, 1 aquarius)
Pan de molde
Jamón york
Queso
Bolsas grandes de gominolas con y sin azúcar
Gusanitos, patatas...
Nutella
Fruta del campamento
Juegos de mesa</t>
        </is>
      </c>
    </row>
    <row r="34">
      <c r="A34" s="7" t="inlineStr">
        <is>
          <t>M-28/07 mañana</t>
        </is>
      </c>
      <c r="B34" s="15" t="inlineStr">
        <is>
          <t>Hotel de insectos</t>
        </is>
      </c>
      <c r="C34" s="7" t="inlineStr">
        <is>
          <t>Malla de alambre 1m x 30cm aprox (ref Temu en el doc)
Cajas de madera tipo fruta x8 (~30cm)
Navajas (de los niños)
Cola para madera 2 botes
Hojas, piñas, piedras (de allí)
Cartones (3-4 cajas grandes)
Cuerda pita (2 rollos)
10 ganchos de tornillo</t>
        </is>
      </c>
    </row>
    <row r="35">
      <c r="A35" s="12" t="inlineStr">
        <is>
          <t>M-28/07 tarde 1</t>
        </is>
      </c>
      <c r="B35" s="16" t="inlineStr">
        <is>
          <t>Taller sexualidad: línea del tiempo</t>
        </is>
      </c>
      <c r="C35" s="12" t="inlineStr">
        <is>
          <t>Folios
Bolígrafos
Tijeras
Pegamento
Papel continuo</t>
        </is>
      </c>
    </row>
    <row r="36">
      <c r="A36" s="7" t="inlineStr">
        <is>
          <t>M-28/07 tarde-noche</t>
        </is>
      </c>
      <c r="B36" s="15" t="inlineStr">
        <is>
          <t>Olimpiadas tarde + vivacs</t>
        </is>
      </c>
      <c r="C36" s="7" t="inlineStr">
        <is>
          <t>Lonas impermeables
Picas
Cuerda
Martillos o maza
Cuerda pita
Conos
Folios
Bolis
Saco y cuerda gorda</t>
        </is>
      </c>
    </row>
    <row r="37">
      <c r="A37" s="12" t="inlineStr">
        <is>
          <t>X-29/07 tarde</t>
        </is>
      </c>
      <c r="B37" s="16" t="inlineStr">
        <is>
          <t>Tipi indio - Miss y Mister</t>
        </is>
      </c>
      <c r="C37" s="12" t="inlineStr">
        <is>
          <t>Folios de colores
Rotuladores
Cola
Tijeras
Palillos de madera largos
Una caja de cartón
Un ovillo de lana</t>
        </is>
      </c>
    </row>
    <row r="38">
      <c r="A38" s="7" t="inlineStr">
        <is>
          <t>X-29/07 tarde 2</t>
        </is>
      </c>
      <c r="B38" s="15" t="inlineStr">
        <is>
          <t>Evaluación</t>
        </is>
      </c>
      <c r="C38" s="7" t="inlineStr">
        <is>
          <t>Folios
Bolis
Papel crepé verde, rojo y amarillo</t>
        </is>
      </c>
    </row>
    <row r="39">
      <c r="A39" s="12" t="inlineStr">
        <is>
          <t>J-16/07 noche</t>
        </is>
      </c>
      <c r="B39" s="16" t="inlineStr">
        <is>
          <t>GRUPAL: Velada inicial</t>
        </is>
      </c>
      <c r="C39" s="12" t="inlineStr">
        <is>
          <t>(De la descripción) Frontales y linternas
Manojo de llaves
Pinturas para caracterizar villanos
Velos/telas</t>
        </is>
      </c>
    </row>
    <row r="40">
      <c r="A40" s="7" t="inlineStr">
        <is>
          <t>S-18/07 mañana</t>
        </is>
      </c>
      <c r="B40" s="15" t="inlineStr">
        <is>
          <t>GRUPAL: Gran Juego</t>
        </is>
      </c>
      <c r="C40" s="7" t="inlineStr">
        <is>
          <t>Lona de papel grande para panel central
Papeles más pequeños o varias lonas grandes
Pinturas de cara o maquillaje
Pinturas o rotuladores
Cubos de plástico
Harina (alternativa para celíacos)
Gominolas de corazones
Telas o algo para disfrazarse
Pañoletas o tela para tapar ojos</t>
        </is>
      </c>
    </row>
    <row r="41">
      <c r="A41" s="12" t="inlineStr">
        <is>
          <t>X-22/07 día</t>
        </is>
      </c>
      <c r="B41" s="16" t="inlineStr">
        <is>
          <t>GRUPAL: Día guarro</t>
        </is>
      </c>
      <c r="C41" s="12" t="inlineStr">
        <is>
          <t>Altavoz
Plátanos (20-30)
Paquetes de galletas (3-5)
Yogures (20-30)
Cuerdas largas (2-3)
Miel
Varios botes de especias
Vinagre
Ketchup
Mayonesa
Vasitos o cucharitas
Alimentos variados para cata (6-10 tipos)
Barreños (6-8)
Esponjas (10-15)
Polvos Holi ecológicos (mirar los del año pasado)</t>
        </is>
      </c>
    </row>
    <row r="42">
      <c r="A42" s="7" t="inlineStr">
        <is>
          <t>D-26/07 tarde</t>
        </is>
      </c>
      <c r="B42" s="15" t="inlineStr">
        <is>
          <t>GRUPAL: Barracas - El Gran Bazar</t>
        </is>
      </c>
      <c r="C42" s="7" t="inlineStr">
        <is>
          <t>(De la descripción) Garbanzos dorados (rupias)
Baraja de cartas
Balde de agua
Canicas
Saco de seda
3 cilindros con dibujos (tragaperras)
100 boletos lotería
Latas de coca-cola con piedras
Placa de cartón + puntas (plinko)
Dado gigante
Pelotas de ping pong
Vasija
Vaso de chupito
Monedas de céntimo
Aro y cono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23" customWidth="1" min="1" max="1"/>
    <col width="41" customWidth="1" min="2" max="2"/>
    <col width="65" customWidth="1" min="3" max="3"/>
  </cols>
  <sheetData>
    <row r="1" ht="28" customHeight="1">
      <c r="A1" s="14" t="inlineStr">
        <is>
          <t>FECHA / MOMENTO</t>
        </is>
      </c>
      <c r="B1" s="14" t="inlineStr">
        <is>
          <t>ACTIVIDAD</t>
        </is>
      </c>
      <c r="C1" s="14" t="inlineStr">
        <is>
          <t>MATERIAL (literal del docx)</t>
        </is>
      </c>
    </row>
    <row r="2">
      <c r="A2" s="7" t="inlineStr">
        <is>
          <t>J-16/07 mañana+tarde</t>
        </is>
      </c>
      <c r="B2" s="15" t="inlineStr">
        <is>
          <t>Construcciones rústicas</t>
        </is>
      </c>
      <c r="C2" s="7" t="inlineStr">
        <is>
          <t>2 rollos de pita grandes
6 alcotanas
Maderas varias para parcela y FELSA
Clavos (indeterminados)
2 poleas para bandera
Tiendas
Piquetas
Listón para mástil
Listón para potero
Listones para portada
Estructura para mochilero con hierros y lonas
Estructura para tendedero</t>
        </is>
      </c>
    </row>
    <row r="3">
      <c r="A3" s="12" t="inlineStr">
        <is>
          <t>J-16/07 tarde</t>
        </is>
      </c>
      <c r="B3" s="16" t="inlineStr">
        <is>
          <t>Juegos (Tropiolimpiadas - cerbatanas)</t>
        </is>
      </c>
      <c r="C3" s="12" t="inlineStr">
        <is>
          <t>Tubos de PVC liso 16mm cortados a 50cm (1 por explorador)
Lanzadoras tipo Nerf (unidad, solo monitores)
Dardos de gomaespuma (unidad)
Lija de grano fino
Cinta aislante de colores
30 pinzas de 3 colores distintos (10 de cada)</t>
        </is>
      </c>
    </row>
    <row r="4">
      <c r="A4" s="7" t="inlineStr">
        <is>
          <t>V-17/07 mañana</t>
        </is>
      </c>
      <c r="B4" s="15" t="inlineStr">
        <is>
          <t>Presentación profunda</t>
        </is>
      </c>
      <c r="C4" s="7" t="inlineStr">
        <is>
          <t>Tarjetas de personajes (unidad)
Cofre cerrado con candado y varias llaves
Folios y rotuladores
5 sobres
Post-its (3 como mucho)</t>
        </is>
      </c>
    </row>
    <row r="5">
      <c r="A5" s="12" t="inlineStr">
        <is>
          <t>V-17/07 tarde 1</t>
        </is>
      </c>
      <c r="B5" s="16" t="inlineStr">
        <is>
          <t>Construcciones adicionales</t>
        </is>
      </c>
      <c r="C5" s="12" t="inlineStr">
        <is>
          <t>Sombrajo
Clavos
Cuerda gruesa (ni soga ni pita)
Tablones de madera
Tablita para columpio
Tablas rotas
Listones circulares</t>
        </is>
      </c>
    </row>
    <row r="6">
      <c r="A6" s="7" t="inlineStr">
        <is>
          <t>V-17/07 tarde 2</t>
        </is>
      </c>
      <c r="B6" s="15" t="inlineStr">
        <is>
          <t>Inauguración de la FELSA</t>
        </is>
      </c>
      <c r="C6" s="7" t="inlineStr">
        <is>
          <t>(Se encarga la unidad) Cuadrilátero acabado
Corchera
Nombres de los niños
Rana de sorteo
Chinchetas
Caja con pañoletas de juego, cinturones, silbato, pañoleta de ganador
Cancioneros</t>
        </is>
      </c>
    </row>
    <row r="7">
      <c r="A7" s="12" t="inlineStr">
        <is>
          <t>V-17/07 noche</t>
        </is>
      </c>
      <c r="B7" s="16" t="inlineStr">
        <is>
          <t>Velada de código morse</t>
        </is>
      </c>
      <c r="C7" s="12" t="inlineStr">
        <is>
          <t>Silbato o linterna x3
Folios (unos 4)
2 rotuladores
5 objetos 'tesoro': 2 mazas, 2 telas/objetos amarillos, 2 pinceles, 2 botellines o latas</t>
        </is>
      </c>
    </row>
    <row r="8">
      <c r="A8" s="7" t="inlineStr">
        <is>
          <t>S-18/07 tarde 1</t>
        </is>
      </c>
      <c r="B8" s="15" t="inlineStr">
        <is>
          <t>Taller de hornillo</t>
        </is>
      </c>
      <c r="C8" s="7" t="inlineStr">
        <is>
          <t>Lata de aluminio 2 por niño
Alcohol 96º
Alambre
Mechero</t>
        </is>
      </c>
    </row>
    <row r="9">
      <c r="A9" s="12" t="inlineStr">
        <is>
          <t>S-18/07 tarde 2</t>
        </is>
      </c>
      <c r="B9" s="16" t="inlineStr">
        <is>
          <t>Preparación de volantes</t>
        </is>
      </c>
      <c r="C9" s="12" t="inlineStr">
        <is>
          <t>Bolsas de basura (para guardar ropa)
Botiquín con lo indispensable (kraalete)
Comida volante</t>
        </is>
      </c>
    </row>
    <row r="10">
      <c r="A10" s="7" t="inlineStr">
        <is>
          <t>S-18/07 noche</t>
        </is>
      </c>
      <c r="B10" s="15" t="inlineStr">
        <is>
          <t>Preparación de volantes (noche)</t>
        </is>
      </c>
      <c r="C10" s="7" t="inlineStr">
        <is>
          <t>Mapas
Frontales
Lumi
Brújula</t>
        </is>
      </c>
    </row>
    <row r="11">
      <c r="A11" s="12" t="inlineStr">
        <is>
          <t>D-19 a M-21/07</t>
        </is>
      </c>
      <c r="B11" s="16" t="inlineStr">
        <is>
          <t>Volante (x3 días)</t>
        </is>
      </c>
      <c r="C11" s="12" t="inlineStr">
        <is>
          <t>Mapas
Comida
Menaje
Botiquín unidad
Chalecos
Navaja
Mochilas volante
Brújulas
Walkie-talkies</t>
        </is>
      </c>
    </row>
    <row r="12">
      <c r="A12" s="7" t="inlineStr">
        <is>
          <t>D-19/07 tarde</t>
        </is>
      </c>
      <c r="B12" s="15" t="inlineStr">
        <is>
          <t>Taller de relajación</t>
        </is>
      </c>
      <c r="C12" s="7" t="inlineStr">
        <is>
          <t>Esterilla</t>
        </is>
      </c>
    </row>
    <row r="13">
      <c r="A13" s="12" t="inlineStr">
        <is>
          <t>L-20/07 tarde</t>
        </is>
      </c>
      <c r="B13" s="16" t="inlineStr">
        <is>
          <t>Actividad maristas</t>
        </is>
      </c>
      <c r="C13" s="12" t="inlineStr">
        <is>
          <t>Cuerda pita (unos metros)
Caja de madera que se pueda cerrar
Folios x5</t>
        </is>
      </c>
    </row>
    <row r="14">
      <c r="A14" s="7" t="inlineStr">
        <is>
          <t>M-21/07 tarde</t>
        </is>
      </c>
      <c r="B14" s="15" t="inlineStr">
        <is>
          <t>Taller pulseras con Castores</t>
        </is>
      </c>
      <c r="C14" s="7" t="inlineStr">
        <is>
          <t>Cordino (1.5 m por participante)</t>
        </is>
      </c>
    </row>
    <row r="15">
      <c r="A15" s="12" t="inlineStr">
        <is>
          <t>M-21/07 noche</t>
        </is>
      </c>
      <c r="B15" s="16" t="inlineStr">
        <is>
          <t>Teleclub</t>
        </is>
      </c>
      <c r="C15" s="12" t="inlineStr">
        <is>
          <t>Caja de juegos: Gobbit, baraja de cartas, Jungle Speed, Virus...</t>
        </is>
      </c>
    </row>
    <row r="16">
      <c r="A16" s="7" t="inlineStr">
        <is>
          <t>X-22/07 tarde 1</t>
        </is>
      </c>
      <c r="B16" s="15" t="inlineStr">
        <is>
          <t>Actividad Clan Ícaro (Trivial)</t>
        </is>
      </c>
      <c r="C16" s="7" t="inlineStr">
        <is>
          <t>Tablero de trivial (impreso)
Dados
Fichas
Frisbee
Poto
Balón
Pelotas de pin pon</t>
        </is>
      </c>
    </row>
    <row r="17">
      <c r="A17" s="12" t="inlineStr">
        <is>
          <t>X-22/07 tarde 2</t>
        </is>
      </c>
      <c r="B17" s="16" t="inlineStr">
        <is>
          <t>Jugger</t>
        </is>
      </c>
      <c r="C17" s="12" t="inlineStr">
        <is>
          <t>Escudos
Lanzas
Dobles
Espadas
Pelota jugger
Cinta americana
Silbato</t>
        </is>
      </c>
    </row>
    <row r="18">
      <c r="A18" s="7" t="inlineStr">
        <is>
          <t>X-22/07 noche</t>
        </is>
      </c>
      <c r="B18" s="15" t="inlineStr">
        <is>
          <t>Velada de terror</t>
        </is>
      </c>
      <c r="C18" s="7" t="inlineStr">
        <is>
          <t>5 pieles de kiwi
1 bote de espárragos
1 paquete de chía
1 caja
1 llave
10 lonas
10 mantas
Espaguetis
3 campanas
5 vendas o pañuelos
Máscaras (las del año pasado)</t>
        </is>
      </c>
    </row>
    <row r="19">
      <c r="A19" s="12" t="inlineStr">
        <is>
          <t>J-23/07 mañana</t>
        </is>
      </c>
      <c r="B19" s="16" t="inlineStr">
        <is>
          <t>Servicio en el pueblo</t>
        </is>
      </c>
      <c r="C19" s="12" t="inlineStr">
        <is>
          <t>Pendiente del voluntariado, se suelen necesitar: Guantes
Chalecos reflectantes</t>
        </is>
      </c>
    </row>
    <row r="20">
      <c r="A20" s="7" t="inlineStr">
        <is>
          <t>J-23/07 tarde 1</t>
        </is>
      </c>
      <c r="B20" s="15" t="inlineStr">
        <is>
          <t>Pruebas Herberth</t>
        </is>
      </c>
      <c r="C20" s="7" t="inlineStr">
        <is>
          <t>Puzzles de las bases</t>
        </is>
      </c>
    </row>
    <row r="21">
      <c r="A21" s="12" t="inlineStr">
        <is>
          <t>J-23/07 noche</t>
        </is>
      </c>
      <c r="B21" s="16" t="inlineStr">
        <is>
          <t>Velada con Pioneros: Estratego</t>
        </is>
      </c>
      <c r="C21" s="12" t="inlineStr">
        <is>
          <t>Silbatos monitores
Papel y boli
Anexo tabla (fotocopiar)</t>
        </is>
      </c>
    </row>
    <row r="22">
      <c r="A22" s="7" t="inlineStr">
        <is>
          <t>V-24/07 mañana</t>
        </is>
      </c>
      <c r="B22" s="15" t="inlineStr">
        <is>
          <t>Masterchef pizza</t>
        </is>
      </c>
      <c r="C22" s="7" t="inlineStr">
        <is>
          <t>Ingredientes: Harina de fuerza
Levadura de panadero
Agua
Sal
Aceite de oliva
Tomate frito
Jamón york
Bacon ahumado
Pepperoni o salami
Salchichas Frankfurt
Atún en conserva
Anchoas
Champiñones laminados
Pimientos rojo y verde
Cebolla
Aceitunas negras sin hueso
Maíz dulce
Piña en su jugo
Rúcula
Mozzarella
Huevos
Miel
Orégano
Pimienta negra
Ajo en polvo</t>
        </is>
      </c>
    </row>
    <row r="23">
      <c r="A23" s="12" t="inlineStr">
        <is>
          <t>V-24/07 tarde 1</t>
        </is>
      </c>
      <c r="B23" s="16" t="inlineStr">
        <is>
          <t>FELSA</t>
        </is>
      </c>
      <c r="C23" s="12" t="inlineStr">
        <is>
          <t>(Se encarga la unidad) Cuadrilátero
Corchera
Nombres
Rana de sorteo
Chinchetas
Caja con pañoletas, cinturones, silbato, pañoleta ganador
Cancioneros</t>
        </is>
      </c>
    </row>
    <row r="24">
      <c r="A24" s="7" t="inlineStr">
        <is>
          <t>V-24/07 tarde 2</t>
        </is>
      </c>
      <c r="B24" s="15" t="inlineStr">
        <is>
          <t>Sport &amp; Scouts (con Lobatos)</t>
        </is>
      </c>
      <c r="C24" s="7" t="inlineStr">
        <is>
          <t>2 balones de fútbol
6 conos
2 toallas
Cuerda pita y lona</t>
        </is>
      </c>
    </row>
    <row r="25">
      <c r="A25" s="12" t="inlineStr">
        <is>
          <t>V-24/07 noche</t>
        </is>
      </c>
      <c r="B25" s="16" t="inlineStr">
        <is>
          <t>Carrera de orientación nocturna</t>
        </is>
      </c>
      <c r="C25" s="12" t="inlineStr">
        <is>
          <t>Cintas reflectantes
Cinta roja, verde y azul (2m de cada)
Folios</t>
        </is>
      </c>
    </row>
    <row r="26">
      <c r="A26" s="7" t="inlineStr">
        <is>
          <t>S-25/07 tarde 1</t>
        </is>
      </c>
      <c r="B26" s="15" t="inlineStr">
        <is>
          <t>Scape room</t>
        </is>
      </c>
      <c r="C26" s="7" t="inlineStr">
        <is>
          <t>Folios
Candados (todos los que haya, distintos tipos)
Tarros con líquidos de color (x5 colores)
Relojes x4 (si hay más mejor)
Boli con tinta invisible (hay comprados)
Cubitera x2
Cuerda
Báscula
Lentejas x300
Libro con muchas páginas</t>
        </is>
      </c>
    </row>
    <row r="27">
      <c r="A27" s="12" t="inlineStr">
        <is>
          <t>S-25/07 tarde 1b</t>
        </is>
      </c>
      <c r="B27" s="16" t="inlineStr">
        <is>
          <t>Complementaria scape room</t>
        </is>
      </c>
      <c r="C27" s="12" t="inlineStr">
        <is>
          <t>Folios</t>
        </is>
      </c>
    </row>
    <row r="28">
      <c r="A28" s="7" t="inlineStr">
        <is>
          <t>S-25/07 tarde 2</t>
        </is>
      </c>
      <c r="B28" s="15" t="inlineStr">
        <is>
          <t>Alimentación y buenos hábitos</t>
        </is>
      </c>
      <c r="C28" s="7" t="inlineStr">
        <is>
          <t>20 folios
3 bolis</t>
        </is>
      </c>
    </row>
    <row r="29">
      <c r="A29" s="12" t="inlineStr">
        <is>
          <t>S-25/07 noche</t>
        </is>
      </c>
      <c r="B29" s="16" t="inlineStr">
        <is>
          <t>Velada de debate</t>
        </is>
      </c>
      <c r="C29" s="12" t="inlineStr">
        <is>
          <t>Papel con los 'supervivientes' (fotocopiar)</t>
        </is>
      </c>
    </row>
    <row r="30">
      <c r="A30" s="7" t="inlineStr">
        <is>
          <t>D-26/07 noche</t>
        </is>
      </c>
      <c r="B30" s="15" t="inlineStr">
        <is>
          <t>Preparación de raids</t>
        </is>
      </c>
      <c r="C30" s="7" t="inlineStr">
        <is>
          <t>(Pedir a menú) Huevos cocidos 1/explorador +5
Patatas cocidas 1/explorador +6
Mapas de la zona x6
Brújula x6
Rafia x6
Cuerda pita x50 metros</t>
        </is>
      </c>
    </row>
    <row r="31">
      <c r="A31" s="12" t="inlineStr">
        <is>
          <t>L-27/07</t>
        </is>
      </c>
      <c r="B31" s="16" t="inlineStr">
        <is>
          <t>Raids</t>
        </is>
      </c>
      <c r="C31" s="12" t="inlineStr">
        <is>
          <t>Mismo material que la noche previa
Chalecos reflectantes 1 por explorador y kraalete
Reflexiones impresas (unidad)</t>
        </is>
      </c>
    </row>
    <row r="32">
      <c r="A32" s="7" t="inlineStr">
        <is>
          <t>M-29/07 mañana</t>
        </is>
      </c>
      <c r="B32" s="15" t="inlineStr">
        <is>
          <t>Desmontar construcciones</t>
        </is>
      </c>
      <c r="C32" s="7" t="inlineStr">
        <is>
          <t>Rastrillo
Alcotana
Herramientas</t>
        </is>
      </c>
    </row>
    <row r="33">
      <c r="A33" s="12" t="inlineStr">
        <is>
          <t>M-29/07 tarde 1</t>
        </is>
      </c>
      <c r="B33" s="16" t="inlineStr">
        <is>
          <t>Miss y Mister: sacos de especias</t>
        </is>
      </c>
      <c r="C33" s="12" t="inlineStr">
        <is>
          <t>Cuadrado de tela 10x10cm por niño
40cm de cordino por niño
5 cartulinas
Rotuladores</t>
        </is>
      </c>
    </row>
    <row r="34">
      <c r="A34" s="7" t="inlineStr">
        <is>
          <t>M-29/07 tarde 2</t>
        </is>
      </c>
      <c r="B34" s="15" t="inlineStr">
        <is>
          <t>Evaluación (cuentas)</t>
        </is>
      </c>
      <c r="C34" s="7" t="inlineStr">
        <is>
          <t>Cuentas amarillas, verdes y rojas (~30 por niño, más verdes)
60cm de cordino por niño (oscuro mejor)</t>
        </is>
      </c>
    </row>
    <row r="35">
      <c r="A35" s="12" t="inlineStr">
        <is>
          <t>Lluvia</t>
        </is>
      </c>
      <c r="B35" s="16" t="inlineStr">
        <is>
          <t>Guardián de las llaves / Pueblo duerme</t>
        </is>
      </c>
      <c r="C35" s="12" t="inlineStr">
        <is>
          <t>Manojo de llaves o cascabel
Pañoleta para vendar ojos
Periódico enrollado o churro de piscina
Pinzas (cobras)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8" customWidth="1" min="1" max="1"/>
    <col width="39" customWidth="1" min="2" max="2"/>
    <col width="65" customWidth="1" min="3" max="3"/>
  </cols>
  <sheetData>
    <row r="1" ht="28" customHeight="1">
      <c r="A1" s="14" t="inlineStr">
        <is>
          <t>FECHA / MOMENTO</t>
        </is>
      </c>
      <c r="B1" s="14" t="inlineStr">
        <is>
          <t>ACTIVIDAD</t>
        </is>
      </c>
      <c r="C1" s="14" t="inlineStr">
        <is>
          <t>MATERIAL (literal del docx)</t>
        </is>
      </c>
    </row>
    <row r="2">
      <c r="A2" s="7" t="inlineStr">
        <is>
          <t>J-16 y V-17/07</t>
        </is>
      </c>
      <c r="B2" s="15" t="inlineStr">
        <is>
          <t>Construcciones</t>
        </is>
      </c>
      <c r="C2" s="7" t="inlineStr">
        <is>
          <t>10m sombrajo
100m cuerda pita
5 listones (puerta + sombrajo)
Alcotanas</t>
        </is>
      </c>
    </row>
    <row r="3">
      <c r="A3" s="12" t="inlineStr">
        <is>
          <t>V-17/07 tarde</t>
        </is>
      </c>
      <c r="B3" s="16" t="inlineStr">
        <is>
          <t>Gymkhana deportes</t>
        </is>
      </c>
      <c r="C3" s="12" t="inlineStr">
        <is>
          <t>Bancos, mesa (circuito)
Conos bajos de colores
Cuerda gorda (sogatira)
Palas de playa y pelota
Palas de ping pong y pelotitas
Red de volleyball
Petanca
Medallas de goma eva (las hace el kraalete)</t>
        </is>
      </c>
    </row>
    <row r="4">
      <c r="A4" s="7" t="inlineStr">
        <is>
          <t>V-17/07 noche</t>
        </is>
      </c>
      <c r="B4" s="15" t="inlineStr">
        <is>
          <t>Taller de estrellas</t>
        </is>
      </c>
      <c r="C4" s="7" t="inlineStr">
        <is>
          <t>Cartulinas amarillas 2 A4
Precinto
Bolígrafos/Rotus
Tijeras
Cuento/leyendas de estrellas
Aislantes (los suyos)</t>
        </is>
      </c>
    </row>
    <row r="5">
      <c r="A5" s="12" t="inlineStr">
        <is>
          <t>S-18/07 tarde 1</t>
        </is>
      </c>
      <c r="B5" s="16" t="inlineStr">
        <is>
          <t>Actividad Clan Ícaro - Drogas</t>
        </is>
      </c>
      <c r="C5" s="12" t="inlineStr">
        <is>
          <t>Papel
Boli
Botellas de plástico
Algodón
Cigarrillos
Mechero
Balde
Cartas</t>
        </is>
      </c>
    </row>
    <row r="6">
      <c r="A6" s="7" t="inlineStr">
        <is>
          <t>S-18/07 tarde 2</t>
        </is>
      </c>
      <c r="B6" s="15" t="inlineStr">
        <is>
          <t>Preparación volantes</t>
        </is>
      </c>
      <c r="C6" s="7" t="inlineStr">
        <is>
          <t>Comida volantes y menaje
Botiquín pequeño
Rafias</t>
        </is>
      </c>
    </row>
    <row r="7">
      <c r="A7" s="12" t="inlineStr">
        <is>
          <t>S-18/07 noche</t>
        </is>
      </c>
      <c r="B7" s="16" t="inlineStr">
        <is>
          <t>Preparación volantes (noche)</t>
        </is>
      </c>
      <c r="C7" s="12" t="inlineStr">
        <is>
          <t>Mapas (poner números)
Frontales
Lumis</t>
        </is>
      </c>
    </row>
    <row r="8">
      <c r="A8" s="7" t="inlineStr">
        <is>
          <t>D-19 a M-21/07</t>
        </is>
      </c>
      <c r="B8" s="15" t="inlineStr">
        <is>
          <t>Volantes (x3 días)</t>
        </is>
      </c>
      <c r="C8" s="7" t="inlineStr">
        <is>
          <t>Mapa hoja 316 21-13 Quintanar de la Sierra
Comida + menaje
Botiquín unidad
Chalecos
Navaja
Mochilas volante
Reflexiones</t>
        </is>
      </c>
    </row>
    <row r="9">
      <c r="A9" s="12" t="inlineStr">
        <is>
          <t>D-19/07 noche</t>
        </is>
      </c>
      <c r="B9" s="16" t="inlineStr">
        <is>
          <t>Juegos de cartas tradicionales</t>
        </is>
      </c>
      <c r="C9" s="12" t="inlineStr">
        <is>
          <t>Baraja española de cartas COMPLETA</t>
        </is>
      </c>
    </row>
    <row r="10">
      <c r="A10" s="7" t="inlineStr">
        <is>
          <t>M-21/07 tarde</t>
        </is>
      </c>
      <c r="B10" s="15" t="inlineStr">
        <is>
          <t>Piscina pueblo Quintanar</t>
        </is>
      </c>
      <c r="C10" s="7" t="inlineStr">
        <is>
          <t>(Lo trae el niño) Toalla
Bañador y chanclas
Mochila pequeña</t>
        </is>
      </c>
    </row>
    <row r="11">
      <c r="A11" s="12" t="inlineStr">
        <is>
          <t>L-20/07 noche</t>
        </is>
      </c>
      <c r="B11" s="16" t="inlineStr">
        <is>
          <t>Pulseras</t>
        </is>
      </c>
      <c r="C11" s="12" t="inlineStr">
        <is>
          <t>Gomitas de colores para pulseras
Cordino y cuerda para pulseras y trenzas de pelo</t>
        </is>
      </c>
    </row>
    <row r="12">
      <c r="A12" s="7" t="inlineStr">
        <is>
          <t>M-21/07 tarde 2</t>
        </is>
      </c>
      <c r="B12" s="15" t="inlineStr">
        <is>
          <t>Relax</t>
        </is>
      </c>
      <c r="C12" s="7" t="inlineStr">
        <is>
          <t>Altavoz (kraalete) y móvil
Cremita aftersun
Aislantes (los nuestros)</t>
        </is>
      </c>
    </row>
    <row r="13">
      <c r="A13" s="12" t="inlineStr">
        <is>
          <t>M-21/07 noche</t>
        </is>
      </c>
      <c r="B13" s="16" t="inlineStr">
        <is>
          <t>Velada pioneros</t>
        </is>
      </c>
      <c r="C13" s="12" t="inlineStr">
        <is>
          <t>Black stories impresas
Juegos de mesa de la caja: 'El Mortal' y 'Family Business'</t>
        </is>
      </c>
    </row>
    <row r="14">
      <c r="A14" s="7" t="inlineStr">
        <is>
          <t>X-22/07 tarde</t>
        </is>
      </c>
      <c r="B14" s="15" t="inlineStr">
        <is>
          <t>Carrera de orientación</t>
        </is>
      </c>
      <c r="C14" s="7" t="inlineStr">
        <is>
          <t>Trozos de telas pequeños (o cinta reflectante) de 2 colores
Sobres pequeños x10
Brújulas
Pruebas (kraalete)
Fotocopias mapa campa x4
Rotus
Folios
Bolígrafos
Cámara de fotos</t>
        </is>
      </c>
    </row>
    <row r="15">
      <c r="A15" s="12" t="inlineStr">
        <is>
          <t>X-22/07 noche</t>
        </is>
      </c>
      <c r="B15" s="16" t="inlineStr">
        <is>
          <t>Velada teleclub</t>
        </is>
      </c>
      <c r="C15" s="12" t="inlineStr">
        <is>
          <t>Juegos de la caja
Baraja de cartas</t>
        </is>
      </c>
    </row>
    <row r="16">
      <c r="A16" s="7" t="inlineStr">
        <is>
          <t>J-23/07 mañana</t>
        </is>
      </c>
      <c r="B16" s="15" t="inlineStr">
        <is>
          <t>Voluntariado con Lobatos</t>
        </is>
      </c>
      <c r="C16" s="7" t="inlineStr">
        <is>
          <t>Guantes
Bolsas basura
Lo que nos pidan</t>
        </is>
      </c>
    </row>
    <row r="17">
      <c r="A17" s="12" t="inlineStr">
        <is>
          <t>J-23/07 tarde 1</t>
        </is>
      </c>
      <c r="B17" s="16" t="inlineStr">
        <is>
          <t>Juegos de agua</t>
        </is>
      </c>
      <c r="C17" s="12" t="inlineStr">
        <is>
          <t>Bañadores, chanclas y toalla (niños)
Balones blanditos para agua
Globos de agua (hinchados en barreño)
Jarras de cocina
Preguntas scouts (kraalete)
Cubo grande de colores (barreño)</t>
        </is>
      </c>
    </row>
    <row r="18">
      <c r="A18" s="7" t="inlineStr">
        <is>
          <t>J-23/07 tarde 2</t>
        </is>
      </c>
      <c r="B18" s="15" t="inlineStr">
        <is>
          <t>Taller pintar tote bags</t>
        </is>
      </c>
      <c r="C18" s="7" t="inlineStr">
        <is>
          <t>Tote bags 100% algodón x1 por chaval
Pinturas acrílicas (o pintura para tela) de colores
Pinceles de varios tamaños
Vasos de plástico (mezclar/limpiar)
Un cartón por bolso</t>
        </is>
      </c>
    </row>
    <row r="19">
      <c r="A19" s="12" t="inlineStr">
        <is>
          <t>J-23/07 noche</t>
        </is>
      </c>
      <c r="B19" s="16" t="inlineStr">
        <is>
          <t>Velada conjunta Tropa - Stratego</t>
        </is>
      </c>
      <c r="C19" s="12" t="inlineStr">
        <is>
          <t>Frontales
Silbato</t>
        </is>
      </c>
    </row>
    <row r="20">
      <c r="A20" s="7" t="inlineStr">
        <is>
          <t>V-24/07 mañana</t>
        </is>
      </c>
      <c r="B20" s="15" t="inlineStr">
        <is>
          <t>Taller de cocina (tarta de galletas)</t>
        </is>
      </c>
      <c r="C20" s="7" t="inlineStr">
        <is>
          <t>Hornillo o camping gas
Sartenes y ollas
Tablas de cortar
Cucharas, espátulas, boles
Papel de aluminio
MENÚ: Galletas tipo María/Digestive/avena
Queso crema untable familiar
Azúcar blanco o glass
Mermelada fresa/frambuesa/melocotón
Fruta de temporada
Mantequilla o leche condensada</t>
        </is>
      </c>
    </row>
    <row r="21">
      <c r="A21" s="12" t="inlineStr">
        <is>
          <t>V-24/07 tarde 2</t>
        </is>
      </c>
      <c r="B21" s="16" t="inlineStr">
        <is>
          <t>Fe</t>
        </is>
      </c>
      <c r="C21" s="12" t="inlineStr">
        <is>
          <t>Folios de colores
Bolis
V y F fotocopiado (Vali)
Pinturas de palo
Rotus de colores</t>
        </is>
      </c>
    </row>
    <row r="22">
      <c r="A22" s="7" t="inlineStr">
        <is>
          <t>V-24/07 noche</t>
        </is>
      </c>
      <c r="B22" s="15" t="inlineStr">
        <is>
          <t>Velada autopercepción</t>
        </is>
      </c>
      <c r="C22" s="7" t="inlineStr">
        <is>
          <t>Post-its de colores
Bolis
Rotus
Un trozo de papel continuo</t>
        </is>
      </c>
    </row>
    <row r="23">
      <c r="A23" s="12" t="inlineStr">
        <is>
          <t>S-25/07 mañana</t>
        </is>
      </c>
      <c r="B23" s="16" t="inlineStr">
        <is>
          <t>Miss y Mister</t>
        </is>
      </c>
      <c r="C23" s="12" t="inlineStr">
        <is>
          <t>Miss y Mister ya plastificados
Perforadora</t>
        </is>
      </c>
    </row>
    <row r="24">
      <c r="A24" s="7" t="inlineStr">
        <is>
          <t>S-25/07 tarde 1</t>
        </is>
      </c>
      <c r="B24" s="15" t="inlineStr">
        <is>
          <t>Sexualidad</t>
        </is>
      </c>
      <c r="C24" s="7" t="inlineStr">
        <is>
          <t>Una mandarina por participante
Rotuladores
Papel continuo
Cinta adhesiva
Post-its
Bolígrafos</t>
        </is>
      </c>
    </row>
    <row r="25">
      <c r="A25" s="12" t="inlineStr">
        <is>
          <t>S-25/07 tarde 2</t>
        </is>
      </c>
      <c r="B25" s="16" t="inlineStr">
        <is>
          <t>Refugiados por un día</t>
        </is>
      </c>
      <c r="C25" s="12" t="inlineStr">
        <is>
          <t>2 folios de 2 colores diferentes (NO blancos)
Bolis
Noticias fotocopiadas (Vali)
Roles y situaciones fotocopiados (Vali)</t>
        </is>
      </c>
    </row>
    <row r="26">
      <c r="A26" s="7" t="inlineStr">
        <is>
          <t>S-25/07 noche</t>
        </is>
      </c>
      <c r="B26" s="15" t="inlineStr">
        <is>
          <t>Velada NNEE</t>
        </is>
      </c>
      <c r="C26" s="7" t="inlineStr">
        <is>
          <t>Papelitos de términos fotocopiados (Vali)
Petanca
Sillas de camping del kraal (prestadas)</t>
        </is>
      </c>
    </row>
    <row r="27">
      <c r="A27" s="12" t="inlineStr">
        <is>
          <t>D-26/07 noche</t>
        </is>
      </c>
      <c r="B27" s="16" t="inlineStr">
        <is>
          <t>Preparación raids</t>
        </is>
      </c>
      <c r="C27" s="12" t="inlineStr">
        <is>
          <t>Papeles raid sorteo
(Avisar a menú: patatas y huevos cocidos)</t>
        </is>
      </c>
    </row>
    <row r="28">
      <c r="A28" s="7" t="inlineStr">
        <is>
          <t>L-27 a M-28/07</t>
        </is>
      </c>
      <c r="B28" s="15" t="inlineStr">
        <is>
          <t>Raids</t>
        </is>
      </c>
      <c r="C28" s="7" t="inlineStr">
        <is>
          <t>Patatas cocidas
Huevos cocidos
Mochilas raids
Navaja/frontal
Bolsas basura
Papel higiénico
Folios reflexiones</t>
        </is>
      </c>
    </row>
    <row r="29">
      <c r="A29" s="12" t="inlineStr">
        <is>
          <t>X-29/07 tarde</t>
        </is>
      </c>
      <c r="B29" s="16" t="inlineStr">
        <is>
          <t>Evaluación + Miss y Mister + velada</t>
        </is>
      </c>
      <c r="C29" s="12" t="inlineStr">
        <is>
          <t>Miss y Mister plastificados
Rotuladores permanentes finos
Hilo de colores para atar (gordito, no lana ni de pulseras fino)
Mandalas fotocopiados en cartulina blanca
Rotuladores de colores
Pinturas de palo</t>
        </is>
      </c>
    </row>
    <row r="30">
      <c r="A30" s="7" t="inlineStr">
        <is>
          <t>X-29/07 noche</t>
        </is>
      </c>
      <c r="B30" s="15" t="inlineStr">
        <is>
          <t>Velada final conjunta</t>
        </is>
      </c>
      <c r="C30" s="7" t="inlineStr">
        <is>
          <t>Frontales
Lumis para el centro
Miss y Mister grupales</t>
        </is>
      </c>
    </row>
    <row r="31">
      <c r="A31" s="12" t="inlineStr">
        <is>
          <t>Lluvia</t>
        </is>
      </c>
      <c r="B31" s="16" t="inlineStr">
        <is>
          <t>Taller puzzle móvil</t>
        </is>
      </c>
      <c r="C31" s="12" t="inlineStr">
        <is>
          <t>Plantilla puzzle (fotocopiar)
Pinturillas y rotuladores de colores
Pegamento
Tijeras</t>
        </is>
      </c>
    </row>
    <row r="32">
      <c r="A32" s="7" t="inlineStr">
        <is>
          <t>Lluvia</t>
        </is>
      </c>
      <c r="B32" s="15" t="inlineStr">
        <is>
          <t>Taller de tejer</t>
        </is>
      </c>
      <c r="C32" s="7" t="inlineStr">
        <is>
          <t>Lana de colores
Cartones (recortes pequeños)
Palillos alargados tipo brocheta</t>
        </is>
      </c>
    </row>
    <row r="33">
      <c r="A33" s="12" t="inlineStr">
        <is>
          <t>Lluvia</t>
        </is>
      </c>
      <c r="B33" s="16" t="inlineStr">
        <is>
          <t>Decorar fotos</t>
        </is>
      </c>
      <c r="C33" s="12" t="inlineStr">
        <is>
          <t>Foto impresa en papel de foto (cada uno la suya)
Hilo de colores (fino, no lana)
Punzón
Agujas</t>
        </is>
      </c>
    </row>
    <row r="34">
      <c r="A34" s="7" t="inlineStr">
        <is>
          <t>Lluvia</t>
        </is>
      </c>
      <c r="B34" s="15" t="inlineStr">
        <is>
          <t>Cuenco serpentina</t>
        </is>
      </c>
      <c r="C34" s="7" t="inlineStr">
        <is>
          <t>Cola blanca
Serpentina de colores
Tijeras</t>
        </is>
      </c>
    </row>
    <row r="35">
      <c r="A35" s="12" t="inlineStr">
        <is>
          <t>Lluvia</t>
        </is>
      </c>
      <c r="B35" s="16" t="inlineStr">
        <is>
          <t>Pulseras</t>
        </is>
      </c>
      <c r="C35" s="12" t="inlineStr">
        <is>
          <t>Hilo de pulsera, 7-8 colores
Tijeras
Mechero
Celo
Imperdibles</t>
        </is>
      </c>
    </row>
    <row r="36">
      <c r="A36" s="7" t="inlineStr">
        <is>
          <t>Lluvia</t>
        </is>
      </c>
      <c r="B36" s="15" t="inlineStr">
        <is>
          <t>Pintar mandalas</t>
        </is>
      </c>
      <c r="C36" s="7" t="inlineStr">
        <is>
          <t>Mandalas (fotocopiar)
Pinturas de palo
Rotuladores de colores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8" customWidth="1" min="1" max="1"/>
    <col width="49" customWidth="1" min="2" max="2"/>
    <col width="65" customWidth="1" min="3" max="3"/>
  </cols>
  <sheetData>
    <row r="1" ht="28" customHeight="1">
      <c r="A1" s="14" t="inlineStr">
        <is>
          <t>FECHA / MOMENTO</t>
        </is>
      </c>
      <c r="B1" s="14" t="inlineStr">
        <is>
          <t>ACTIVIDAD</t>
        </is>
      </c>
      <c r="C1" s="14" t="inlineStr">
        <is>
          <t>MATERIAL (literal del docx)</t>
        </is>
      </c>
    </row>
    <row r="2">
      <c r="A2" s="7" t="inlineStr">
        <is>
          <t>J-16/07</t>
        </is>
      </c>
      <c r="B2" s="15" t="inlineStr">
        <is>
          <t>Actividad de adicciones con pipis</t>
        </is>
      </c>
      <c r="C2" s="7" t="inlineStr">
        <is>
          <t>Papel
Boli
Botella de plástico
Algodón
Cigarrillos
Mechero
Balde
Cartas</t>
        </is>
      </c>
    </row>
    <row r="3">
      <c r="A3" s="12" t="inlineStr">
        <is>
          <t>V-17/07</t>
        </is>
      </c>
      <c r="B3" s="16" t="inlineStr">
        <is>
          <t>PPV</t>
        </is>
      </c>
      <c r="C3" s="12" t="inlineStr">
        <is>
          <t>Cuerda
Post-its
Bolígrafos
Folios
Permanentes
Rotuladores</t>
        </is>
      </c>
    </row>
    <row r="4">
      <c r="A4" s="7" t="inlineStr">
        <is>
          <t>S-18/07</t>
        </is>
      </c>
      <c r="B4" s="15" t="inlineStr">
        <is>
          <t>Preparación acampada volante</t>
        </is>
      </c>
      <c r="C4" s="7" t="inlineStr">
        <is>
          <t>Mapas de la zona (pdte)</t>
        </is>
      </c>
    </row>
    <row r="5">
      <c r="A5" s="12" t="inlineStr">
        <is>
          <t>D-19 a M-21/07</t>
        </is>
      </c>
      <c r="B5" s="16" t="inlineStr">
        <is>
          <t>Acampada volante (x3 días)</t>
        </is>
      </c>
      <c r="C5" s="12" t="inlineStr">
        <is>
          <t>Camping gas
Comida del día
Cazuelas y cucharas de madera
Chalecos
Mapas de la zona 316I, 316III, 348I y 348III
Botiquín
Cerillas o mechero
Limpieza (bolsas basura, fairy, estropajo)
Títulos fotocopiados
Tarjetas sanitarias</t>
        </is>
      </c>
    </row>
    <row r="6">
      <c r="A6" s="7" t="inlineStr">
        <is>
          <t>Volante noche</t>
        </is>
      </c>
      <c r="B6" s="15" t="inlineStr">
        <is>
          <t>Línea de la vida</t>
        </is>
      </c>
      <c r="C6" s="7" t="inlineStr">
        <is>
          <t>Velas pequeñas (15)
Cerillas/mecheros
Aislantes
Reflexiones</t>
        </is>
      </c>
    </row>
    <row r="7">
      <c r="A7" s="12" t="inlineStr">
        <is>
          <t>X-22/07</t>
        </is>
      </c>
      <c r="B7" s="16" t="inlineStr">
        <is>
          <t>Estiramientos post-volante</t>
        </is>
      </c>
      <c r="C7" s="12" t="inlineStr">
        <is>
          <t>Esterillas</t>
        </is>
      </c>
    </row>
    <row r="8">
      <c r="A8" s="7" t="inlineStr">
        <is>
          <t>X-22/07 noche</t>
        </is>
      </c>
      <c r="B8" s="15" t="inlineStr">
        <is>
          <t>Juegos de mesa</t>
        </is>
      </c>
      <c r="C8" s="7" t="inlineStr">
        <is>
          <t>Juegos de mesa nuestros y de las bases</t>
        </is>
      </c>
    </row>
    <row r="9">
      <c r="A9" s="12" t="inlineStr">
        <is>
          <t>J-23/07</t>
        </is>
      </c>
      <c r="B9" s="16" t="inlineStr">
        <is>
          <t>Cocina con hándicaps (gyozas/empanadillas)</t>
        </is>
      </c>
      <c r="C9" s="12" t="inlineStr">
        <is>
          <t>Cinta aislante
Pañoleta (vendar ojos)
Cascos inalámbricos y un móvil (o tapones)
Camping gas
Bandejas
Papel film
Comida: masa de empanadillas
750g harina de trigo
Sal
1L caldo de pollo
2 pechugas de pollo
4 huevos
4 dientes de ajo
Salsa de soja
Jengibre
1 cebolleta
2 puerros
Salmón
Carne picada de cerdo 250g
Pimienta
Aceite
Agua</t>
        </is>
      </c>
    </row>
    <row r="10">
      <c r="A10" s="7" t="inlineStr">
        <is>
          <t>J-23/07 noche</t>
        </is>
      </c>
      <c r="B10" s="15" t="inlineStr">
        <is>
          <t>Debates con roles</t>
        </is>
      </c>
      <c r="C10" s="7" t="inlineStr">
        <is>
          <t>Papel
Boli</t>
        </is>
      </c>
    </row>
    <row r="11">
      <c r="A11" s="12" t="inlineStr">
        <is>
          <t>V-24/07</t>
        </is>
      </c>
      <c r="B11" s="16" t="inlineStr">
        <is>
          <t>Voluntariado Neila</t>
        </is>
      </c>
      <c r="C11" s="12" t="inlineStr">
        <is>
          <t>Falta confirmar si dejan todo o llevamos nosotros
Coche/furgo para llegar</t>
        </is>
      </c>
    </row>
    <row r="12">
      <c r="A12" s="7" t="inlineStr">
        <is>
          <t>V-24/07 noche</t>
        </is>
      </c>
      <c r="B12" s="15" t="inlineStr">
        <is>
          <t>PPV (velada)</t>
        </is>
      </c>
      <c r="C12" s="7" t="inlineStr">
        <is>
          <t>Velas altas
Mantas
Altavoz
Mini tronquitos
Permanentes finos negros
Cajas pandora (ellas)</t>
        </is>
      </c>
    </row>
    <row r="13">
      <c r="A13" s="12" t="inlineStr">
        <is>
          <t>S-25/07</t>
        </is>
      </c>
      <c r="B13" s="16" t="inlineStr">
        <is>
          <t>Cambio climático y ecosistemas autosostenibles</t>
        </is>
      </c>
      <c r="C13" s="12" t="inlineStr">
        <is>
          <t>Frascos grandes de cristal con tapa hermética
Rotulador
Carbón vegetal
Pala o pica para excavar
Papel de cocina
Naturaleza recolectada en campa y río</t>
        </is>
      </c>
    </row>
    <row r="14">
      <c r="A14" s="7" t="inlineStr">
        <is>
          <t>S-25/07 tarde</t>
        </is>
      </c>
      <c r="B14" s="15" t="inlineStr">
        <is>
          <t>Jugger con el Ícaro</t>
        </is>
      </c>
      <c r="C14" s="7" t="inlineStr">
        <is>
          <t>Armas del jugger</t>
        </is>
      </c>
    </row>
    <row r="15">
      <c r="A15" s="12" t="inlineStr">
        <is>
          <t>S-25/07 noche</t>
        </is>
      </c>
      <c r="B15" s="16" t="inlineStr">
        <is>
          <t>Velada de reflexión con el Ícaro</t>
        </is>
      </c>
      <c r="C15" s="12" t="inlineStr">
        <is>
          <t>Papel
Boli</t>
        </is>
      </c>
    </row>
    <row r="16">
      <c r="A16" s="7" t="inlineStr">
        <is>
          <t>D-26/07</t>
        </is>
      </c>
      <c r="B16" s="15" t="inlineStr">
        <is>
          <t>Rapel</t>
        </is>
      </c>
      <c r="C16" s="7" t="inlineStr">
        <is>
          <t>Furgoneta
Material dejado por la empresa</t>
        </is>
      </c>
    </row>
    <row r="17">
      <c r="A17" s="12" t="inlineStr">
        <is>
          <t>D-26/07 noche</t>
        </is>
      </c>
      <c r="B17" s="16" t="inlineStr">
        <is>
          <t>Stalking con el Clan Ícaro</t>
        </is>
      </c>
      <c r="C17" s="12" t="inlineStr">
        <is>
          <t>Frontales
Papeles
Bolis</t>
        </is>
      </c>
    </row>
    <row r="18">
      <c r="A18" s="7" t="inlineStr">
        <is>
          <t>L-27/07</t>
        </is>
      </c>
      <c r="B18" s="15" t="inlineStr">
        <is>
          <t>Preparación raids</t>
        </is>
      </c>
      <c r="C18" s="7" t="inlineStr">
        <is>
          <t>Mapas de la zona (pdte)</t>
        </is>
      </c>
    </row>
    <row r="19">
      <c r="A19" s="12" t="inlineStr">
        <is>
          <t>L-27 a M-28/07</t>
        </is>
      </c>
      <c r="B19" s="16" t="inlineStr">
        <is>
          <t>Raids</t>
        </is>
      </c>
      <c r="C19" s="12" t="inlineStr">
        <is>
          <t>8 huevos cocidos
4 patatas cocidas
Chalecos
Botiquín</t>
        </is>
      </c>
    </row>
    <row r="20">
      <c r="A20" s="7" t="inlineStr">
        <is>
          <t>X-29/07 tarde</t>
        </is>
      </c>
      <c r="B20" s="15" t="inlineStr">
        <is>
          <t>Miss y Mister (llaveros)</t>
        </is>
      </c>
      <c r="C20" s="7" t="inlineStr">
        <is>
          <t>Pasta moldeable de secado al aire: carne, rosa, azul, rojo, amarillo, blanco, negro
Goma eva rosa pandora con purpurina
Rotuladores negros
Tijeras
Cola de ratón que pase por pernos de argolla
Pernos de argolla pequeñitos
Anillas de llavero</t>
        </is>
      </c>
    </row>
    <row r="21">
      <c r="A21" s="12" t="inlineStr">
        <is>
          <t>Reserva</t>
        </is>
      </c>
      <c r="B21" s="16" t="inlineStr">
        <is>
          <t>Reflexión personal</t>
        </is>
      </c>
      <c r="C21" s="12" t="inlineStr">
        <is>
          <t>Altavoz
Folios
Bolígrafos</t>
        </is>
      </c>
    </row>
    <row r="22">
      <c r="A22" s="7" t="inlineStr">
        <is>
          <t>Reserva</t>
        </is>
      </c>
      <c r="B22" s="15" t="inlineStr">
        <is>
          <t>Carrera de orientación</t>
        </is>
      </c>
      <c r="C22" s="7" t="inlineStr">
        <is>
          <t>Mapa de la zona
Brújulas
Pinzas de orientación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47" customWidth="1" min="3" max="3"/>
  </cols>
  <sheetData>
    <row r="1" ht="28" customHeight="1">
      <c r="A1" s="14" t="inlineStr">
        <is>
          <t>FECHA / MOMENTO</t>
        </is>
      </c>
      <c r="B1" s="14" t="inlineStr">
        <is>
          <t>ACTIVIDAD</t>
        </is>
      </c>
      <c r="C1" s="14" t="inlineStr">
        <is>
          <t>MATERIAL (literal del docx)</t>
        </is>
      </c>
    </row>
    <row r="2">
      <c r="A2" s="7" t="inlineStr">
        <is>
          <t>J-16/07</t>
        </is>
      </c>
      <c r="B2" s="15" t="inlineStr">
        <is>
          <t>Construcciones</t>
        </is>
      </c>
      <c r="C2" s="7" t="inlineStr">
        <is>
          <t>Tienda
Cuerda pita
Mástil
Bandera rutas
Imperdibles
Cordino para bandera
Portada: 6 listones
Cartel rutas
Hierros y listones para tendedero
Listones sobrantes</t>
        </is>
      </c>
    </row>
    <row r="3">
      <c r="A3" s="12" t="inlineStr">
        <is>
          <t>V-17/07</t>
        </is>
      </c>
      <c r="B3" s="16" t="inlineStr">
        <is>
          <t>Taller Eva</t>
        </is>
      </c>
      <c r="C3" s="12" t="inlineStr">
        <is>
          <t>Folios
Bolis</t>
        </is>
      </c>
    </row>
    <row r="4">
      <c r="A4" s="7" t="inlineStr">
        <is>
          <t>V-17/07</t>
        </is>
      </c>
      <c r="B4" s="15" t="inlineStr">
        <is>
          <t>Taller David</t>
        </is>
      </c>
      <c r="C4" s="7" t="inlineStr">
        <is>
          <t>Folios
Bolígrafo
Bingo (David)</t>
        </is>
      </c>
    </row>
    <row r="5">
      <c r="A5" s="12" t="inlineStr">
        <is>
          <t>V-17/07</t>
        </is>
      </c>
      <c r="B5" s="16" t="inlineStr">
        <is>
          <t>PPV (Vali)</t>
        </is>
      </c>
      <c r="C5" s="12" t="inlineStr">
        <is>
          <t>Cuadernos PPV (los suyos)
Bolis
Tarjetas mochila a color impresa (A5)
Rotus de colores
Papelitos dinámica</t>
        </is>
      </c>
    </row>
    <row r="6">
      <c r="A6" s="7" t="inlineStr">
        <is>
          <t>V-17/07 noche</t>
        </is>
      </c>
      <c r="B6" s="15" t="inlineStr">
        <is>
          <t>Velada Vision Board</t>
        </is>
      </c>
      <c r="C6" s="7" t="inlineStr">
        <is>
          <t>Cartulina A3 grises claras
Periódicos y revistas (un par de cada)
Rotuladores de colores y permanentes
Bolis</t>
        </is>
      </c>
    </row>
    <row r="7">
      <c r="A7" s="12" t="inlineStr">
        <is>
          <t>S-18/07</t>
        </is>
      </c>
      <c r="B7" s="16" t="inlineStr">
        <is>
          <t>Taller para Pioneros - Drogas</t>
        </is>
      </c>
      <c r="C7" s="12" t="inlineStr">
        <is>
          <t>Papel
Boli
Botellas de plástico
Algodón
Cigarrillos
Mechero
Balde
Cartas</t>
        </is>
      </c>
    </row>
    <row r="8">
      <c r="A8" s="7" t="inlineStr">
        <is>
          <t>S-18/07</t>
        </is>
      </c>
      <c r="B8" s="15" t="inlineStr">
        <is>
          <t>Actividad moverse (Charlie)</t>
        </is>
      </c>
      <c r="C8" s="7" t="inlineStr">
        <is>
          <t>Pelotas
Cuerda
Papel
Un boli</t>
        </is>
      </c>
    </row>
    <row r="9">
      <c r="A9" s="12" t="inlineStr">
        <is>
          <t>S-18/07 noche</t>
        </is>
      </c>
      <c r="B9" s="16" t="inlineStr">
        <is>
          <t>Preparación volantes</t>
        </is>
      </c>
      <c r="C9" s="12" t="inlineStr">
        <is>
          <t>Mapas de la zona 316I, 316III, 348I y 348III
Comida y menaje
Botiquín unidad
Chalecos</t>
        </is>
      </c>
    </row>
    <row r="10">
      <c r="A10" s="7" t="inlineStr">
        <is>
          <t>D-19 a M-21/07</t>
        </is>
      </c>
      <c r="B10" s="15" t="inlineStr">
        <is>
          <t>Volantes (x3 días)</t>
        </is>
      </c>
      <c r="C10" s="7" t="inlineStr">
        <is>
          <t>Mapas de la zona 316I, 316III, 348I y 348III
Comida y menaje
Botiquín unidad
Chalecos
Mochilas volante
Cordino</t>
        </is>
      </c>
    </row>
    <row r="11">
      <c r="A11" s="12" t="inlineStr">
        <is>
          <t>Volante noche</t>
        </is>
      </c>
      <c r="B11" s="16" t="inlineStr">
        <is>
          <t>Línea de la vida</t>
        </is>
      </c>
      <c r="C11" s="12" t="inlineStr">
        <is>
          <t>Velas pequeñas (15)
Mechero/cerillas
Aislantes
Reflexiones y preguntas fotocopiadas (Vali)</t>
        </is>
      </c>
    </row>
    <row r="12">
      <c r="A12" s="7" t="inlineStr">
        <is>
          <t>M-21/07</t>
        </is>
      </c>
      <c r="B12" s="15" t="inlineStr">
        <is>
          <t>Talleres personales (Charlie)</t>
        </is>
      </c>
      <c r="C12" s="7" t="inlineStr">
        <is>
          <t>Rotus
Navaja
Una fruta para cada uno (naranja)</t>
        </is>
      </c>
    </row>
    <row r="13">
      <c r="A13" s="12" t="inlineStr">
        <is>
          <t>M-21/07 noche</t>
        </is>
      </c>
      <c r="B13" s="16" t="inlineStr">
        <is>
          <t>Juegos de mesa</t>
        </is>
      </c>
      <c r="C13" s="12" t="inlineStr">
        <is>
          <t>Caja de juegos de mesa</t>
        </is>
      </c>
    </row>
    <row r="14">
      <c r="A14" s="7" t="inlineStr">
        <is>
          <t>X-22/07</t>
        </is>
      </c>
      <c r="B14" s="15" t="inlineStr">
        <is>
          <t>Actividad para Tropa: Trivial</t>
        </is>
      </c>
      <c r="C14" s="7" t="inlineStr">
        <is>
          <t>Tablero de trivial (impreso)
Dados
Fichas
Frisbee
Poto
Balón
Pelotas de pin pon</t>
        </is>
      </c>
    </row>
    <row r="15">
      <c r="A15" s="12" t="inlineStr">
        <is>
          <t>X-22/07</t>
        </is>
      </c>
      <c r="B15" s="16" t="inlineStr">
        <is>
          <t>Actividad para Castores</t>
        </is>
      </c>
      <c r="C15" s="12" t="inlineStr">
        <is>
          <t>Cartulina
Rotuladores
Papel y boli</t>
        </is>
      </c>
    </row>
    <row r="16">
      <c r="A16" s="7" t="inlineStr">
        <is>
          <t>X-22/07 noche</t>
        </is>
      </c>
      <c r="B16" s="15" t="inlineStr">
        <is>
          <t>Taller feminismo (actividad país)</t>
        </is>
      </c>
      <c r="C16" s="7" t="inlineStr">
        <is>
          <t>Folios
Bolis
Lista de preguntas impresa (Eva y Vali)
Perfil de debate impreso (Eva y Vali)</t>
        </is>
      </c>
    </row>
    <row r="17">
      <c r="A17" s="12" t="inlineStr">
        <is>
          <t>J-23/07</t>
        </is>
      </c>
      <c r="B17" s="16" t="inlineStr">
        <is>
          <t>Voluntariado Manuela</t>
        </is>
      </c>
      <c r="C17" s="12" t="inlineStr">
        <is>
          <t>Guantes
Chalecos
Bolsas de basura
Tijeras
Alguna herramienta básica</t>
        </is>
      </c>
    </row>
    <row r="18">
      <c r="A18" s="7" t="inlineStr">
        <is>
          <t>J-23/07</t>
        </is>
      </c>
      <c r="B18" s="15" t="inlineStr">
        <is>
          <t>Actividad para Lobatos (Charlie y David)</t>
        </is>
      </c>
      <c r="C18" s="7" t="inlineStr">
        <is>
          <t>Set de petanca
Discos para lanzar
Cuerda gorda y una rueda/algo que pese
Un banco
Botellas/conos
Un palo para meter aros
Aros</t>
        </is>
      </c>
    </row>
    <row r="19">
      <c r="A19" s="12" t="inlineStr">
        <is>
          <t>V-24/07</t>
        </is>
      </c>
      <c r="B19" s="16" t="inlineStr">
        <is>
          <t>¿Por qué la rutina nos provoca estrés?</t>
        </is>
      </c>
      <c r="C19" s="12" t="inlineStr">
        <is>
          <t>Papel
Boli</t>
        </is>
      </c>
    </row>
    <row r="20">
      <c r="A20" s="7" t="inlineStr">
        <is>
          <t>V-24/07</t>
        </is>
      </c>
      <c r="B20" s="15" t="inlineStr">
        <is>
          <t>Taller Manu</t>
        </is>
      </c>
      <c r="C20" s="7" t="inlineStr">
        <is>
          <t>Folios
Bolis</t>
        </is>
      </c>
    </row>
    <row r="21">
      <c r="A21" s="12" t="inlineStr">
        <is>
          <t>V-24/07</t>
        </is>
      </c>
      <c r="B21" s="16" t="inlineStr">
        <is>
          <t>El cáncer de la dopamina</t>
        </is>
      </c>
      <c r="C21" s="12" t="inlineStr">
        <is>
          <t>Papel y bolis</t>
        </is>
      </c>
    </row>
    <row r="22">
      <c r="A22" s="7" t="inlineStr">
        <is>
          <t>V-24/07</t>
        </is>
      </c>
      <c r="B22" s="15" t="inlineStr">
        <is>
          <t>Técnicas scouts (brújula casera, potabilizar)</t>
        </is>
      </c>
      <c r="C22" s="7" t="inlineStr">
        <is>
          <t>Brújulas
Papel
Bolis
Pañoleta con tochos
Camping gas
Mechero
Harina
Sal
Agua
Lona
Cuerda
Piquetas
Botella de plástico
Arena fina
Arena gruesa
Carbón vegetal</t>
        </is>
      </c>
    </row>
    <row r="23">
      <c r="A23" s="12" t="inlineStr">
        <is>
          <t>S-25/07</t>
        </is>
      </c>
      <c r="B23" s="16" t="inlineStr">
        <is>
          <t>Jugger con Pandora</t>
        </is>
      </c>
      <c r="C23" s="12" t="inlineStr">
        <is>
          <t>Armas de jugger
Balón de rugby</t>
        </is>
      </c>
    </row>
    <row r="24">
      <c r="A24" s="7" t="inlineStr">
        <is>
          <t>S-26/07</t>
        </is>
      </c>
      <c r="B24" s="15" t="inlineStr">
        <is>
          <t>Revisar olimpiadas + hacer premios</t>
        </is>
      </c>
      <c r="C24" s="7" t="inlineStr">
        <is>
          <t>Goma eva de muchos colores (bastante)
Ovillo de lana
Plumas
Rotulador punta fina
Abalorios</t>
        </is>
      </c>
    </row>
    <row r="25">
      <c r="A25" s="12" t="inlineStr">
        <is>
          <t>D-26/07 noche</t>
        </is>
      </c>
      <c r="B25" s="16" t="inlineStr">
        <is>
          <t>Stalking con Pandora y pipis</t>
        </is>
      </c>
      <c r="C25" s="12" t="inlineStr">
        <is>
          <t>(Sin material listado)</t>
        </is>
      </c>
    </row>
    <row r="26">
      <c r="A26" s="7" t="inlineStr">
        <is>
          <t>L-27/07</t>
        </is>
      </c>
      <c r="B26" s="15" t="inlineStr">
        <is>
          <t>Preparación de raids</t>
        </is>
      </c>
      <c r="C26" s="7" t="inlineStr">
        <is>
          <t>Lumis
Mapas</t>
        </is>
      </c>
    </row>
    <row r="27">
      <c r="A27" s="12" t="inlineStr">
        <is>
          <t>L-27 a M-28/07</t>
        </is>
      </c>
      <c r="B27" s="16" t="inlineStr">
        <is>
          <t>Raids</t>
        </is>
      </c>
      <c r="C27" s="12" t="inlineStr">
        <is>
          <t>Comida raids
Chalecos reflectantes
Reflexiones (Vali)
Patatas cocidas
Huevos cocidos
Papel higiénico
Bolsas de basura</t>
        </is>
      </c>
    </row>
    <row r="28">
      <c r="A28" s="7" t="inlineStr">
        <is>
          <t>X-29/07 mañana</t>
        </is>
      </c>
      <c r="B28" s="15" t="inlineStr">
        <is>
          <t>OLIMPIADAS (grupal)</t>
        </is>
      </c>
      <c r="C28" s="7" t="inlineStr">
        <is>
          <t>Hierros de tiendas de 3-4 tamaños
Bancos del comedor
Balón
Mantas
Cuerda pita
Martillo
Clavos
Potos/vasos
Pelotas de pin-pon
Dos pañoletas
Vaso de plástico
Velas
Mechero
Sacos para carrera de sacos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7"/>
  <sheetViews>
    <sheetView workbookViewId="0">
      <pane ySplit="1" topLeftCell="A2" activePane="bottomLeft" state="frozen"/>
      <selection pane="bottomLeft" activeCell="A1" sqref="A1"/>
    </sheetView>
  </sheetViews>
  <sheetFormatPr baseColWidth="8" defaultRowHeight="15"/>
  <cols>
    <col width="52" customWidth="1" min="1" max="1"/>
    <col width="22" customWidth="1" min="2" max="2"/>
    <col width="48" customWidth="1" min="3" max="3"/>
    <col width="65" customWidth="1" min="4" max="4"/>
  </cols>
  <sheetData>
    <row r="1" ht="25" customHeight="1">
      <c r="A1" s="17" t="inlineStr">
        <is>
          <t>-- INGREDIENTES DE TALLERES DE COCINA --</t>
        </is>
      </c>
    </row>
    <row r="2" ht="28" customHeight="1">
      <c r="A2" s="18" t="inlineStr">
        <is>
          <t>UNIDAD</t>
        </is>
      </c>
      <c r="B2" s="18" t="inlineStr">
        <is>
          <t>FECHA / DÍA</t>
        </is>
      </c>
      <c r="C2" s="18" t="inlineStr">
        <is>
          <t>TALLER DE COCINA</t>
        </is>
      </c>
      <c r="D2" s="18" t="inlineStr">
        <is>
          <t>INGREDIENTES REQUERIDOS</t>
        </is>
      </c>
    </row>
    <row r="3">
      <c r="A3" s="15" t="inlineStr">
        <is>
          <t>CASTORES</t>
        </is>
      </c>
      <c r="B3" s="7" t="inlineStr">
        <is>
          <t>D-19 a M-21/07</t>
        </is>
      </c>
      <c r="C3" s="7" t="inlineStr">
        <is>
          <t>Acampada volante (x3 días)</t>
        </is>
      </c>
      <c r="D3" s="7" t="inlineStr">
        <is>
          <t>Comida del día (menú de volantes)</t>
        </is>
      </c>
    </row>
    <row r="4">
      <c r="A4" s="16" t="inlineStr">
        <is>
          <t>CASTORES</t>
        </is>
      </c>
      <c r="B4" s="12" t="inlineStr">
        <is>
          <t>D-19 a M-21/07</t>
        </is>
      </c>
      <c r="C4" s="12" t="inlineStr">
        <is>
          <t>Acampada volante (x3 días)</t>
        </is>
      </c>
      <c r="D4" s="12" t="inlineStr">
        <is>
          <t>Estropajo</t>
        </is>
      </c>
    </row>
    <row r="5">
      <c r="A5" s="15" t="inlineStr">
        <is>
          <t>CASTORES</t>
        </is>
      </c>
      <c r="B5" s="7" t="inlineStr">
        <is>
          <t>M-21/07 tarde 2</t>
        </is>
      </c>
      <c r="C5" s="7" t="inlineStr">
        <is>
          <t>Taller de tortitas (con Exploradores)</t>
        </is>
      </c>
      <c r="D5" s="7" t="inlineStr">
        <is>
          <t>Toppings: Nocilla x3, chocolate x3, mermelada x4 botes
Medidas por niño: Harina 80-100g, Leche 100-120ml, 1/2 huevo, 1 cda azúcar, dado de mantequilla, pizca levadura en polvo, pizca de sal</t>
        </is>
      </c>
    </row>
    <row r="6">
      <c r="A6" s="16" t="inlineStr">
        <is>
          <t>CASTORES</t>
        </is>
      </c>
      <c r="B6" s="12" t="inlineStr">
        <is>
          <t>M-21/07 tarde 2b</t>
        </is>
      </c>
      <c r="C6" s="12" t="inlineStr">
        <is>
          <t>Taller pulseras (lo dan Exploradores)</t>
        </is>
      </c>
      <c r="D6" s="12" t="inlineStr">
        <is>
          <t>Cordino (1.5 m por participante)</t>
        </is>
      </c>
    </row>
    <row r="7">
      <c r="A7" s="15" t="inlineStr">
        <is>
          <t>CASTORES</t>
        </is>
      </c>
      <c r="B7" s="7" t="inlineStr">
        <is>
          <t>J-23/07 mañana</t>
        </is>
      </c>
      <c r="C7" s="7" t="inlineStr">
        <is>
          <t>Taller de cocina - Nariyal Ladoo</t>
        </is>
      </c>
      <c r="D7" s="7" t="inlineStr">
        <is>
          <t>Fruta en almíbar sobrante
Compra (20 niños): Coco rallado 1kg
Leche condensada 2 botes grandes (740g)
Granadina 1 botella
Mantequilla 1 bote
Cardamomo 2 botes de semillas (o 1 en polvo)</t>
        </is>
      </c>
    </row>
    <row r="8">
      <c r="A8" s="16" t="inlineStr">
        <is>
          <t>LOBATOS</t>
        </is>
      </c>
      <c r="B8" s="12" t="inlineStr">
        <is>
          <t>D-19 a M-21/07</t>
        </is>
      </c>
      <c r="C8" s="12" t="inlineStr">
        <is>
          <t>Ruta volante (x3 días)</t>
        </is>
      </c>
      <c r="D8" s="12" t="inlineStr">
        <is>
          <t>Comida del día (menú de volantes)</t>
        </is>
      </c>
    </row>
    <row r="9">
      <c r="A9" s="15" t="inlineStr">
        <is>
          <t>LOBATOS</t>
        </is>
      </c>
      <c r="B9" s="7" t="inlineStr">
        <is>
          <t>D-19 a M-21/07</t>
        </is>
      </c>
      <c r="C9" s="7" t="inlineStr">
        <is>
          <t>Ruta volante (x3 días)</t>
        </is>
      </c>
      <c r="D9" s="7" t="inlineStr">
        <is>
          <t>Estropajo</t>
        </is>
      </c>
    </row>
    <row r="10">
      <c r="A10" s="16" t="inlineStr">
        <is>
          <t>LOBATOS</t>
        </is>
      </c>
      <c r="B10" s="12" t="inlineStr">
        <is>
          <t>J-23/07 mañana</t>
        </is>
      </c>
      <c r="C10" s="12" t="inlineStr">
        <is>
          <t>Voluntariado conjunto Lobatos-Pioneros</t>
        </is>
      </c>
      <c r="D10" s="12" t="inlineStr">
        <is>
          <t>Comida</t>
        </is>
      </c>
    </row>
    <row r="11">
      <c r="A11" s="15" t="inlineStr">
        <is>
          <t>LOBATOS</t>
        </is>
      </c>
      <c r="B11" s="7" t="inlineStr">
        <is>
          <t>J-23/07 día</t>
        </is>
      </c>
      <c r="C11" s="7" t="inlineStr">
        <is>
          <t>Piscina pueblo (con Pioneros)</t>
        </is>
      </c>
      <c r="D11" s="7" t="inlineStr">
        <is>
          <t>Comida al pueblo (bocadillo)</t>
        </is>
      </c>
    </row>
    <row r="12">
      <c r="A12" s="16" t="inlineStr">
        <is>
          <t>LOBATOS</t>
        </is>
      </c>
      <c r="B12" s="12" t="inlineStr">
        <is>
          <t>V-24/07 tarde 1</t>
        </is>
      </c>
      <c r="C12" s="12" t="inlineStr">
        <is>
          <t>Clan Ícaro: brújula casera y potabilizar</t>
        </is>
      </c>
      <c r="D12" s="12" t="inlineStr">
        <is>
          <t>Harina</t>
        </is>
      </c>
    </row>
    <row r="13">
      <c r="A13" s="15" t="inlineStr">
        <is>
          <t>LOBATOS</t>
        </is>
      </c>
      <c r="B13" s="7" t="inlineStr">
        <is>
          <t>V-24/07 tarde 1</t>
        </is>
      </c>
      <c r="C13" s="7" t="inlineStr">
        <is>
          <t>Clan Ícaro: brújula casera y potabilizar</t>
        </is>
      </c>
      <c r="D13" s="7" t="inlineStr">
        <is>
          <t>Sal</t>
        </is>
      </c>
    </row>
    <row r="14">
      <c r="A14" s="16" t="inlineStr">
        <is>
          <t>LOBATOS</t>
        </is>
      </c>
      <c r="B14" s="12" t="inlineStr">
        <is>
          <t>L-27/07 tarde-noche</t>
        </is>
      </c>
      <c r="C14" s="12" t="inlineStr">
        <is>
          <t>Picoteo al estilo lobato</t>
        </is>
      </c>
      <c r="D14" s="12" t="inlineStr">
        <is>
          <t>Bebidas (2 coca-cola, agua, 1 fanta naranja, 1 aquarius)
Pan de molde
Jamón york
Queso
Gusanitos, patatas...
Nutella
Fruta del campamento</t>
        </is>
      </c>
    </row>
    <row r="15">
      <c r="A15" s="15" t="inlineStr">
        <is>
          <t>LOBATOS</t>
        </is>
      </c>
      <c r="B15" s="7" t="inlineStr">
        <is>
          <t>M-28/07 mañana</t>
        </is>
      </c>
      <c r="C15" s="7" t="inlineStr">
        <is>
          <t>Hotel de insectos</t>
        </is>
      </c>
      <c r="D15" s="7" t="inlineStr">
        <is>
          <t>Cajas de madera tipo fruta x8 (~30cm)</t>
        </is>
      </c>
    </row>
    <row r="16">
      <c r="A16" s="16" t="inlineStr">
        <is>
          <t>LOBATOS</t>
        </is>
      </c>
      <c r="B16" s="12" t="inlineStr">
        <is>
          <t>M-28/07 mañana</t>
        </is>
      </c>
      <c r="C16" s="12" t="inlineStr">
        <is>
          <t>Hotel de insectos</t>
        </is>
      </c>
      <c r="D16" s="12" t="inlineStr">
        <is>
          <t>Hojas, piñas, piedras (de allí)</t>
        </is>
      </c>
    </row>
    <row r="17">
      <c r="A17" s="15" t="inlineStr">
        <is>
          <t>LOBATOS</t>
        </is>
      </c>
      <c r="B17" s="7" t="inlineStr">
        <is>
          <t>S-18/07 mañana</t>
        </is>
      </c>
      <c r="C17" s="7" t="inlineStr">
        <is>
          <t>GRUPAL: Gran Juego</t>
        </is>
      </c>
      <c r="D17" s="7" t="inlineStr">
        <is>
          <t>Lona de papel grande para panel central</t>
        </is>
      </c>
    </row>
    <row r="18">
      <c r="A18" s="16" t="inlineStr">
        <is>
          <t>LOBATOS</t>
        </is>
      </c>
      <c r="B18" s="12" t="inlineStr">
        <is>
          <t>S-18/07 mañana</t>
        </is>
      </c>
      <c r="C18" s="12" t="inlineStr">
        <is>
          <t>GRUPAL: Gran Juego</t>
        </is>
      </c>
      <c r="D18" s="12" t="inlineStr">
        <is>
          <t>Harina (alternativa para celíacos)</t>
        </is>
      </c>
    </row>
    <row r="19">
      <c r="A19" s="15" t="inlineStr">
        <is>
          <t>LOBATOS</t>
        </is>
      </c>
      <c r="B19" s="7" t="inlineStr">
        <is>
          <t>S-18/07 mañana</t>
        </is>
      </c>
      <c r="C19" s="7" t="inlineStr">
        <is>
          <t>GRUPAL: Gran Juego</t>
        </is>
      </c>
      <c r="D19" s="7" t="inlineStr">
        <is>
          <t>Gominolas de corazones</t>
        </is>
      </c>
    </row>
    <row r="20">
      <c r="A20" s="16" t="inlineStr">
        <is>
          <t>LOBATOS</t>
        </is>
      </c>
      <c r="B20" s="12" t="inlineStr">
        <is>
          <t>X-22/07 día</t>
        </is>
      </c>
      <c r="C20" s="12" t="inlineStr">
        <is>
          <t>GRUPAL: Día guarro</t>
        </is>
      </c>
      <c r="D20" s="12" t="inlineStr">
        <is>
          <t>Plátanos (20-30)</t>
        </is>
      </c>
    </row>
    <row r="21">
      <c r="A21" s="15" t="inlineStr">
        <is>
          <t>LOBATOS</t>
        </is>
      </c>
      <c r="B21" s="7" t="inlineStr">
        <is>
          <t>X-22/07 día</t>
        </is>
      </c>
      <c r="C21" s="7" t="inlineStr">
        <is>
          <t>GRUPAL: Día guarro</t>
        </is>
      </c>
      <c r="D21" s="7" t="inlineStr">
        <is>
          <t>Paquetes de galletas (3-5)</t>
        </is>
      </c>
    </row>
    <row r="22">
      <c r="A22" s="16" t="inlineStr">
        <is>
          <t>LOBATOS</t>
        </is>
      </c>
      <c r="B22" s="12" t="inlineStr">
        <is>
          <t>X-22/07 día</t>
        </is>
      </c>
      <c r="C22" s="12" t="inlineStr">
        <is>
          <t>GRUPAL: Día guarro</t>
        </is>
      </c>
      <c r="D22" s="12" t="inlineStr">
        <is>
          <t>Yogures (20-30)</t>
        </is>
      </c>
    </row>
    <row r="23">
      <c r="A23" s="15" t="inlineStr">
        <is>
          <t>LOBATOS</t>
        </is>
      </c>
      <c r="B23" s="7" t="inlineStr">
        <is>
          <t>X-22/07 día</t>
        </is>
      </c>
      <c r="C23" s="7" t="inlineStr">
        <is>
          <t>GRUPAL: Día guarro</t>
        </is>
      </c>
      <c r="D23" s="7" t="inlineStr">
        <is>
          <t>Miel</t>
        </is>
      </c>
    </row>
    <row r="24">
      <c r="A24" s="16" t="inlineStr">
        <is>
          <t>LOBATOS</t>
        </is>
      </c>
      <c r="B24" s="12" t="inlineStr">
        <is>
          <t>X-22/07 día</t>
        </is>
      </c>
      <c r="C24" s="12" t="inlineStr">
        <is>
          <t>GRUPAL: Día guarro</t>
        </is>
      </c>
      <c r="D24" s="12" t="inlineStr">
        <is>
          <t>Varios botes de especias</t>
        </is>
      </c>
    </row>
    <row r="25">
      <c r="A25" s="15" t="inlineStr">
        <is>
          <t>LOBATOS</t>
        </is>
      </c>
      <c r="B25" s="7" t="inlineStr">
        <is>
          <t>X-22/07 día</t>
        </is>
      </c>
      <c r="C25" s="7" t="inlineStr">
        <is>
          <t>GRUPAL: Día guarro</t>
        </is>
      </c>
      <c r="D25" s="7" t="inlineStr">
        <is>
          <t>Vinagre</t>
        </is>
      </c>
    </row>
    <row r="26">
      <c r="A26" s="16" t="inlineStr">
        <is>
          <t>LOBATOS</t>
        </is>
      </c>
      <c r="B26" s="12" t="inlineStr">
        <is>
          <t>X-22/07 día</t>
        </is>
      </c>
      <c r="C26" s="12" t="inlineStr">
        <is>
          <t>GRUPAL: Día guarro</t>
        </is>
      </c>
      <c r="D26" s="12" t="inlineStr">
        <is>
          <t>Ketchup</t>
        </is>
      </c>
    </row>
    <row r="27">
      <c r="A27" s="15" t="inlineStr">
        <is>
          <t>LOBATOS</t>
        </is>
      </c>
      <c r="B27" s="7" t="inlineStr">
        <is>
          <t>X-22/07 día</t>
        </is>
      </c>
      <c r="C27" s="7" t="inlineStr">
        <is>
          <t>GRUPAL: Día guarro</t>
        </is>
      </c>
      <c r="D27" s="7" t="inlineStr">
        <is>
          <t>Mayonesa</t>
        </is>
      </c>
    </row>
    <row r="28">
      <c r="A28" s="16" t="inlineStr">
        <is>
          <t>LOBATOS</t>
        </is>
      </c>
      <c r="B28" s="12" t="inlineStr">
        <is>
          <t>X-22/07 día</t>
        </is>
      </c>
      <c r="C28" s="12" t="inlineStr">
        <is>
          <t>GRUPAL: Día guarro</t>
        </is>
      </c>
      <c r="D28" s="12" t="inlineStr">
        <is>
          <t>Alimentos variados para cata (6-10 tipos)</t>
        </is>
      </c>
    </row>
    <row r="29">
      <c r="A29" s="15" t="inlineStr">
        <is>
          <t>LOBATOS</t>
        </is>
      </c>
      <c r="B29" s="7" t="inlineStr">
        <is>
          <t>D-26/07 tarde</t>
        </is>
      </c>
      <c r="C29" s="7" t="inlineStr">
        <is>
          <t>GRUPAL: Barracas - El Gran Bazar</t>
        </is>
      </c>
      <c r="D29" s="7" t="inlineStr">
        <is>
          <t>Latas de coca-cola con piedras</t>
        </is>
      </c>
    </row>
    <row r="30">
      <c r="A30" s="16" t="inlineStr">
        <is>
          <t>EXPLORADORES</t>
        </is>
      </c>
      <c r="B30" s="12" t="inlineStr">
        <is>
          <t>V-17/07 tarde 1</t>
        </is>
      </c>
      <c r="C30" s="12" t="inlineStr">
        <is>
          <t>Construcciones adicionales</t>
        </is>
      </c>
      <c r="D30" s="12" t="inlineStr">
        <is>
          <t>Sombrajo</t>
        </is>
      </c>
    </row>
    <row r="31">
      <c r="A31" s="15" t="inlineStr">
        <is>
          <t>EXPLORADORES</t>
        </is>
      </c>
      <c r="B31" s="7" t="inlineStr">
        <is>
          <t>S-18/07 tarde 2</t>
        </is>
      </c>
      <c r="C31" s="7" t="inlineStr">
        <is>
          <t>Preparación de volantes</t>
        </is>
      </c>
      <c r="D31" s="7" t="inlineStr">
        <is>
          <t>Comida volante</t>
        </is>
      </c>
    </row>
    <row r="32">
      <c r="A32" s="16" t="inlineStr">
        <is>
          <t>EXPLORADORES</t>
        </is>
      </c>
      <c r="B32" s="12" t="inlineStr">
        <is>
          <t>D-19 a M-21/07</t>
        </is>
      </c>
      <c r="C32" s="12" t="inlineStr">
        <is>
          <t>Volante (x3 días)</t>
        </is>
      </c>
      <c r="D32" s="12" t="inlineStr">
        <is>
          <t>Comida</t>
        </is>
      </c>
    </row>
    <row r="33">
      <c r="A33" s="15" t="inlineStr">
        <is>
          <t>EXPLORADORES</t>
        </is>
      </c>
      <c r="B33" s="7" t="inlineStr">
        <is>
          <t>M-21/07 tarde</t>
        </is>
      </c>
      <c r="C33" s="7" t="inlineStr">
        <is>
          <t>Taller pulseras con Castores</t>
        </is>
      </c>
      <c r="D33" s="7" t="inlineStr">
        <is>
          <t>Cordino (1.5 m por participante)</t>
        </is>
      </c>
    </row>
    <row r="34">
      <c r="A34" s="16" t="inlineStr">
        <is>
          <t>EXPLORADORES</t>
        </is>
      </c>
      <c r="B34" s="12" t="inlineStr">
        <is>
          <t>X-22/07 noche</t>
        </is>
      </c>
      <c r="C34" s="12" t="inlineStr">
        <is>
          <t>Velada de terror</t>
        </is>
      </c>
      <c r="D34" s="12" t="inlineStr">
        <is>
          <t>3 campanas</t>
        </is>
      </c>
    </row>
    <row r="35">
      <c r="A35" s="15" t="inlineStr">
        <is>
          <t>EXPLORADORES</t>
        </is>
      </c>
      <c r="B35" s="7" t="inlineStr">
        <is>
          <t>V-24/07 mañana</t>
        </is>
      </c>
      <c r="C35" s="7" t="inlineStr">
        <is>
          <t>Masterchef pizza</t>
        </is>
      </c>
      <c r="D35" s="7" t="inlineStr">
        <is>
          <t>Ingredientes: Harina de fuerza
Levadura de panadero
Sal
Tomate frito
Jamón york
Bacon ahumado
Pepperoni o salami
Salchichas Frankfurt
Atún en conserva
Anchoas
Champiñones laminados
Pimientos rojo y verde
Aceitunas negras sin hueso
Maíz dulce
Piña en su jugo
Rúcula
Mozzarella
Huevos
Miel
Orégano
Pimienta negra
Ajo en polvo</t>
        </is>
      </c>
    </row>
    <row r="36">
      <c r="A36" s="16" t="inlineStr">
        <is>
          <t>EXPLORADORES</t>
        </is>
      </c>
      <c r="B36" s="12" t="inlineStr">
        <is>
          <t>D-26/07 noche</t>
        </is>
      </c>
      <c r="C36" s="12" t="inlineStr">
        <is>
          <t>Preparación de raids</t>
        </is>
      </c>
      <c r="D36" s="12" t="inlineStr">
        <is>
          <t>(Pedir a menú) Huevos cocidos 1/explorador +5</t>
        </is>
      </c>
    </row>
    <row r="37">
      <c r="A37" s="15" t="inlineStr">
        <is>
          <t>EXPLORADORES</t>
        </is>
      </c>
      <c r="B37" s="7" t="inlineStr">
        <is>
          <t>D-26/07 noche</t>
        </is>
      </c>
      <c r="C37" s="7" t="inlineStr">
        <is>
          <t>Preparación de raids</t>
        </is>
      </c>
      <c r="D37" s="7" t="inlineStr">
        <is>
          <t>Patatas cocidas 1/explorador +6</t>
        </is>
      </c>
    </row>
    <row r="38">
      <c r="A38" s="16" t="inlineStr">
        <is>
          <t>PIONEROS</t>
        </is>
      </c>
      <c r="B38" s="12" t="inlineStr">
        <is>
          <t>J-16 y V-17/07</t>
        </is>
      </c>
      <c r="C38" s="12" t="inlineStr">
        <is>
          <t>Construcciones</t>
        </is>
      </c>
      <c r="D38" s="12" t="inlineStr">
        <is>
          <t>10m sombrajo</t>
        </is>
      </c>
    </row>
    <row r="39">
      <c r="A39" s="15" t="inlineStr">
        <is>
          <t>PIONEROS</t>
        </is>
      </c>
      <c r="B39" s="7" t="inlineStr">
        <is>
          <t>J-16 y V-17/07</t>
        </is>
      </c>
      <c r="C39" s="7" t="inlineStr">
        <is>
          <t>Construcciones</t>
        </is>
      </c>
      <c r="D39" s="7" t="inlineStr">
        <is>
          <t>5 listones (puerta + sombrajo)</t>
        </is>
      </c>
    </row>
    <row r="40">
      <c r="A40" s="16" t="inlineStr">
        <is>
          <t>PIONEROS</t>
        </is>
      </c>
      <c r="B40" s="12" t="inlineStr">
        <is>
          <t>V-17/07 tarde</t>
        </is>
      </c>
      <c r="C40" s="12" t="inlineStr">
        <is>
          <t>Gymkhana deportes</t>
        </is>
      </c>
      <c r="D40" s="12" t="inlineStr">
        <is>
          <t>Conos bajos de colores</t>
        </is>
      </c>
    </row>
    <row r="41">
      <c r="A41" s="15" t="inlineStr">
        <is>
          <t>PIONEROS</t>
        </is>
      </c>
      <c r="B41" s="7" t="inlineStr">
        <is>
          <t>S-18/07 tarde 2</t>
        </is>
      </c>
      <c r="C41" s="7" t="inlineStr">
        <is>
          <t>Preparación volantes</t>
        </is>
      </c>
      <c r="D41" s="7" t="inlineStr">
        <is>
          <t>Comida volantes y menaje</t>
        </is>
      </c>
    </row>
    <row r="42">
      <c r="A42" s="16" t="inlineStr">
        <is>
          <t>PIONEROS</t>
        </is>
      </c>
      <c r="B42" s="12" t="inlineStr">
        <is>
          <t>D-19 a M-21/07</t>
        </is>
      </c>
      <c r="C42" s="12" t="inlineStr">
        <is>
          <t>Volantes (x3 días)</t>
        </is>
      </c>
      <c r="D42" s="12" t="inlineStr">
        <is>
          <t>Comida + menaje</t>
        </is>
      </c>
    </row>
    <row r="43">
      <c r="A43" s="15" t="inlineStr">
        <is>
          <t>PIONEROS</t>
        </is>
      </c>
      <c r="B43" s="7" t="inlineStr">
        <is>
          <t>V-24/07 mañana</t>
        </is>
      </c>
      <c r="C43" s="7" t="inlineStr">
        <is>
          <t>Taller de cocina (tarta de galletas)</t>
        </is>
      </c>
      <c r="D43" s="7" t="inlineStr">
        <is>
          <t>MENÚ: Galletas tipo María/Digestive/avena
Queso crema untable familiar
Azúcar blanco o glass
Mermelada fresa/frambuesa/melocotón
Fruta de temporada
Mantequilla o leche condensada</t>
        </is>
      </c>
    </row>
    <row r="44">
      <c r="A44" s="16" t="inlineStr">
        <is>
          <t>PIONEROS</t>
        </is>
      </c>
      <c r="B44" s="12" t="inlineStr">
        <is>
          <t>S-25/07 tarde 1</t>
        </is>
      </c>
      <c r="C44" s="12" t="inlineStr">
        <is>
          <t>Sexualidad</t>
        </is>
      </c>
      <c r="D44" s="12" t="inlineStr">
        <is>
          <t>Una mandarina por participante</t>
        </is>
      </c>
    </row>
    <row r="45">
      <c r="A45" s="15" t="inlineStr">
        <is>
          <t>PIONEROS</t>
        </is>
      </c>
      <c r="B45" s="7" t="inlineStr">
        <is>
          <t>D-26/07 noche</t>
        </is>
      </c>
      <c r="C45" s="7" t="inlineStr">
        <is>
          <t>Preparación raids</t>
        </is>
      </c>
      <c r="D45" s="7" t="inlineStr">
        <is>
          <t>(Avisar a menú: patatas y huevos cocidos)</t>
        </is>
      </c>
    </row>
    <row r="46">
      <c r="A46" s="16" t="inlineStr">
        <is>
          <t>PIONEROS</t>
        </is>
      </c>
      <c r="B46" s="12" t="inlineStr">
        <is>
          <t>L-27 a M-28/07</t>
        </is>
      </c>
      <c r="C46" s="12" t="inlineStr">
        <is>
          <t>Raids</t>
        </is>
      </c>
      <c r="D46" s="12" t="inlineStr">
        <is>
          <t>Patatas cocidas</t>
        </is>
      </c>
    </row>
    <row r="47">
      <c r="A47" s="15" t="inlineStr">
        <is>
          <t>PIONEROS</t>
        </is>
      </c>
      <c r="B47" s="7" t="inlineStr">
        <is>
          <t>L-27 a M-28/07</t>
        </is>
      </c>
      <c r="C47" s="7" t="inlineStr">
        <is>
          <t>Raids</t>
        </is>
      </c>
      <c r="D47" s="7" t="inlineStr">
        <is>
          <t>Huevos cocidos</t>
        </is>
      </c>
    </row>
    <row r="48">
      <c r="A48" s="16" t="inlineStr">
        <is>
          <t>RUTAS PANDORA</t>
        </is>
      </c>
      <c r="B48" s="12" t="inlineStr">
        <is>
          <t>D-19 a M-21/07</t>
        </is>
      </c>
      <c r="C48" s="12" t="inlineStr">
        <is>
          <t>Acampada volante (x3 días)</t>
        </is>
      </c>
      <c r="D48" s="12" t="inlineStr">
        <is>
          <t>Comida del día</t>
        </is>
      </c>
    </row>
    <row r="49">
      <c r="A49" s="15" t="inlineStr">
        <is>
          <t>RUTAS PANDORA</t>
        </is>
      </c>
      <c r="B49" s="7" t="inlineStr">
        <is>
          <t>J-23/07</t>
        </is>
      </c>
      <c r="C49" s="7" t="inlineStr">
        <is>
          <t>Cocina con hándicaps (gyozas/empanadillas)</t>
        </is>
      </c>
      <c r="D49" s="7" t="inlineStr">
        <is>
          <t>Comida: masa de empanadillas
750g harina de trigo
Sal
1L caldo de pollo
4 huevos
4 dientes de ajo
Salsa de soja
Jengibre
2 puerros
Salmón
Carne picada de cerdo 250g
Pimienta</t>
        </is>
      </c>
    </row>
    <row r="50">
      <c r="A50" s="16" t="inlineStr">
        <is>
          <t>RUTAS PANDORA</t>
        </is>
      </c>
      <c r="B50" s="12" t="inlineStr">
        <is>
          <t>V-24/07 noche</t>
        </is>
      </c>
      <c r="C50" s="12" t="inlineStr">
        <is>
          <t>PPV (velada)</t>
        </is>
      </c>
      <c r="D50" s="12" t="inlineStr">
        <is>
          <t>Cajas pandora (ellas)</t>
        </is>
      </c>
    </row>
    <row r="51">
      <c r="A51" s="15" t="inlineStr">
        <is>
          <t>RUTAS PANDORA</t>
        </is>
      </c>
      <c r="B51" s="7" t="inlineStr">
        <is>
          <t>L-27 a M-28/07</t>
        </is>
      </c>
      <c r="C51" s="7" t="inlineStr">
        <is>
          <t>Raids</t>
        </is>
      </c>
      <c r="D51" s="7" t="inlineStr">
        <is>
          <t>8 huevos cocidos</t>
        </is>
      </c>
    </row>
    <row r="52">
      <c r="A52" s="16" t="inlineStr">
        <is>
          <t>RUTAS PANDORA</t>
        </is>
      </c>
      <c r="B52" s="12" t="inlineStr">
        <is>
          <t>L-27 a M-28/07</t>
        </is>
      </c>
      <c r="C52" s="12" t="inlineStr">
        <is>
          <t>Raids</t>
        </is>
      </c>
      <c r="D52" s="12" t="inlineStr">
        <is>
          <t>4 patatas cocidas</t>
        </is>
      </c>
    </row>
    <row r="53">
      <c r="A53" s="15" t="inlineStr">
        <is>
          <t>RUTAS PANDORA</t>
        </is>
      </c>
      <c r="B53" s="7" t="inlineStr">
        <is>
          <t>X-29/07 tarde</t>
        </is>
      </c>
      <c r="C53" s="7" t="inlineStr">
        <is>
          <t>Miss y Mister (llaveros)</t>
        </is>
      </c>
      <c r="D53" s="7" t="inlineStr">
        <is>
          <t>Goma eva rosa pandora con purpurina</t>
        </is>
      </c>
    </row>
    <row r="54">
      <c r="A54" s="16" t="inlineStr">
        <is>
          <t>RUTAS ICARO</t>
        </is>
      </c>
      <c r="B54" s="12" t="inlineStr">
        <is>
          <t>S-18/07 noche</t>
        </is>
      </c>
      <c r="C54" s="12" t="inlineStr">
        <is>
          <t>Preparación volantes</t>
        </is>
      </c>
      <c r="D54" s="12" t="inlineStr">
        <is>
          <t>Comida y menaje</t>
        </is>
      </c>
    </row>
    <row r="55">
      <c r="A55" s="15" t="inlineStr">
        <is>
          <t>RUTAS ICARO</t>
        </is>
      </c>
      <c r="B55" s="7" t="inlineStr">
        <is>
          <t>D-19 a M-21/07</t>
        </is>
      </c>
      <c r="C55" s="7" t="inlineStr">
        <is>
          <t>Volantes (x3 días)</t>
        </is>
      </c>
      <c r="D55" s="7" t="inlineStr">
        <is>
          <t>Comida y menaje</t>
        </is>
      </c>
    </row>
    <row r="56">
      <c r="A56" s="16" t="inlineStr">
        <is>
          <t>RUTAS ICARO</t>
        </is>
      </c>
      <c r="B56" s="12" t="inlineStr">
        <is>
          <t>M-21/07</t>
        </is>
      </c>
      <c r="C56" s="12" t="inlineStr">
        <is>
          <t>Talleres personales (Charlie)</t>
        </is>
      </c>
      <c r="D56" s="12" t="inlineStr">
        <is>
          <t>Una fruta para cada uno (naranja)</t>
        </is>
      </c>
    </row>
    <row r="57">
      <c r="A57" s="15" t="inlineStr">
        <is>
          <t>RUTAS ICARO</t>
        </is>
      </c>
      <c r="B57" s="7" t="inlineStr">
        <is>
          <t>V-24/07</t>
        </is>
      </c>
      <c r="C57" s="7" t="inlineStr">
        <is>
          <t>Técnicas scouts (brújula casera, potabilizar)</t>
        </is>
      </c>
      <c r="D57" s="7" t="inlineStr">
        <is>
          <t>Harina</t>
        </is>
      </c>
    </row>
    <row r="58">
      <c r="A58" s="16" t="inlineStr">
        <is>
          <t>RUTAS ICARO</t>
        </is>
      </c>
      <c r="B58" s="12" t="inlineStr">
        <is>
          <t>V-24/07</t>
        </is>
      </c>
      <c r="C58" s="12" t="inlineStr">
        <is>
          <t>Técnicas scouts (brújula casera, potabilizar)</t>
        </is>
      </c>
      <c r="D58" s="12" t="inlineStr">
        <is>
          <t>Sal</t>
        </is>
      </c>
    </row>
    <row r="59">
      <c r="A59" s="15" t="inlineStr">
        <is>
          <t>RUTAS ICARO</t>
        </is>
      </c>
      <c r="B59" s="7" t="inlineStr">
        <is>
          <t>L-27 a M-28/07</t>
        </is>
      </c>
      <c r="C59" s="7" t="inlineStr">
        <is>
          <t>Raids</t>
        </is>
      </c>
      <c r="D59" s="7" t="inlineStr">
        <is>
          <t>Comida raids</t>
        </is>
      </c>
    </row>
    <row r="60">
      <c r="A60" s="16" t="inlineStr">
        <is>
          <t>RUTAS ICARO</t>
        </is>
      </c>
      <c r="B60" s="12" t="inlineStr">
        <is>
          <t>L-27 a M-28/07</t>
        </is>
      </c>
      <c r="C60" s="12" t="inlineStr">
        <is>
          <t>Raids</t>
        </is>
      </c>
      <c r="D60" s="12" t="inlineStr">
        <is>
          <t>Patatas cocidas</t>
        </is>
      </c>
    </row>
    <row r="61">
      <c r="A61" s="15" t="inlineStr">
        <is>
          <t>RUTAS ICARO</t>
        </is>
      </c>
      <c r="B61" s="7" t="inlineStr">
        <is>
          <t>L-27 a M-28/07</t>
        </is>
      </c>
      <c r="C61" s="7" t="inlineStr">
        <is>
          <t>Raids</t>
        </is>
      </c>
      <c r="D61" s="7" t="inlineStr">
        <is>
          <t>Huevos cocidos</t>
        </is>
      </c>
    </row>
    <row r="62"/>
    <row r="63"/>
    <row r="64" ht="25" customHeight="1">
      <c r="A64" s="17" t="inlineStr">
        <is>
          <t>-- MENÚ DE VOLANTES (Ingredientes Desglosados) --</t>
        </is>
      </c>
    </row>
    <row r="65" ht="28" customHeight="1">
      <c r="A65" s="18" t="inlineStr">
        <is>
          <t>UNIDAD</t>
        </is>
      </c>
      <c r="B65" s="18" t="inlineStr">
        <is>
          <t>FECHA / DÍA</t>
        </is>
      </c>
      <c r="C65" s="18" t="inlineStr">
        <is>
          <t>ACTIVIDAD / ORIGEN</t>
        </is>
      </c>
      <c r="D65" s="18" t="inlineStr">
        <is>
          <t>INGREDIENTE / CANTIDAD</t>
        </is>
      </c>
    </row>
    <row r="66">
      <c r="A66" s="15" t="inlineStr">
        <is>
          <t>CASTORES</t>
        </is>
      </c>
      <c r="B66" s="7" t="inlineStr">
        <is>
          <t>19-21/07</t>
        </is>
      </c>
      <c r="C66" s="7" t="inlineStr">
        <is>
          <t>MENÚ VOLANTE (para 14: 12 castores + 2 GC)</t>
        </is>
      </c>
      <c r="D66" s="7" t="inlineStr">
        <is>
          <t>Manzanas 14</t>
        </is>
      </c>
    </row>
    <row r="67">
      <c r="A67" s="16" t="inlineStr">
        <is>
          <t>CASTORES</t>
        </is>
      </c>
      <c r="B67" s="12" t="inlineStr">
        <is>
          <t>19-21/07</t>
        </is>
      </c>
      <c r="C67" s="12" t="inlineStr">
        <is>
          <t>MENÚ VOLANTE (para 14: 12 castores + 2 GC)</t>
        </is>
      </c>
      <c r="D67" s="12" t="inlineStr">
        <is>
          <t>Filetes de lomo 70</t>
        </is>
      </c>
    </row>
    <row r="68">
      <c r="A68" s="15" t="inlineStr">
        <is>
          <t>CASTORES</t>
        </is>
      </c>
      <c r="B68" s="7" t="inlineStr">
        <is>
          <t>19-21/07</t>
        </is>
      </c>
      <c r="C68" s="7" t="inlineStr">
        <is>
          <t>MENÚ VOLANTE (para 14: 12 castores + 2 GC)</t>
        </is>
      </c>
      <c r="D68" s="7" t="inlineStr">
        <is>
          <t>Tranchetes 32</t>
        </is>
      </c>
    </row>
    <row r="69">
      <c r="A69" s="16" t="inlineStr">
        <is>
          <t>CASTORES</t>
        </is>
      </c>
      <c r="B69" s="12" t="inlineStr">
        <is>
          <t>19-21/07</t>
        </is>
      </c>
      <c r="C69" s="12" t="inlineStr">
        <is>
          <t>MENÚ VOLANTE (para 14: 12 castores + 2 GC)</t>
        </is>
      </c>
      <c r="D69" s="12" t="inlineStr">
        <is>
          <t>Paté 5 latas</t>
        </is>
      </c>
    </row>
    <row r="70">
      <c r="A70" s="15" t="inlineStr">
        <is>
          <t>CASTORES</t>
        </is>
      </c>
      <c r="B70" s="7" t="inlineStr">
        <is>
          <t>19-21/07</t>
        </is>
      </c>
      <c r="C70" s="7" t="inlineStr">
        <is>
          <t>MENÚ VOLANTE (para 14: 12 castores + 2 GC)</t>
        </is>
      </c>
      <c r="D70" s="7" t="inlineStr">
        <is>
          <t>Noodles 10 paquetes</t>
        </is>
      </c>
    </row>
    <row r="71">
      <c r="A71" s="16" t="inlineStr">
        <is>
          <t>CASTORES</t>
        </is>
      </c>
      <c r="B71" s="12" t="inlineStr">
        <is>
          <t>19-21/07</t>
        </is>
      </c>
      <c r="C71" s="12" t="inlineStr">
        <is>
          <t>MENÚ VOLANTE (para 14: 12 castores + 2 GC)</t>
        </is>
      </c>
      <c r="D71" s="12" t="inlineStr">
        <is>
          <t>Salchichas 8 paquetes</t>
        </is>
      </c>
    </row>
    <row r="72">
      <c r="A72" s="15" t="inlineStr">
        <is>
          <t>CASTORES</t>
        </is>
      </c>
      <c r="B72" s="7" t="inlineStr">
        <is>
          <t>19-21/07</t>
        </is>
      </c>
      <c r="C72" s="7" t="inlineStr">
        <is>
          <t>MENÚ VOLANTE (para 14: 12 castores + 2 GC)</t>
        </is>
      </c>
      <c r="D72" s="7" t="inlineStr">
        <is>
          <t>Leche deshidratada para 8L</t>
        </is>
      </c>
    </row>
    <row r="73">
      <c r="A73" s="16" t="inlineStr">
        <is>
          <t>CASTORES</t>
        </is>
      </c>
      <c r="B73" s="12" t="inlineStr">
        <is>
          <t>19-21/07</t>
        </is>
      </c>
      <c r="C73" s="12" t="inlineStr">
        <is>
          <t>MENÚ VOLANTE (para 14: 12 castores + 2 GC)</t>
        </is>
      </c>
      <c r="D73" s="12" t="inlineStr">
        <is>
          <t>Cola Cao a ojo</t>
        </is>
      </c>
    </row>
    <row r="74">
      <c r="A74" s="15" t="inlineStr">
        <is>
          <t>CASTORES</t>
        </is>
      </c>
      <c r="B74" s="7" t="inlineStr">
        <is>
          <t>19-21/07</t>
        </is>
      </c>
      <c r="C74" s="7" t="inlineStr">
        <is>
          <t>MENÚ VOLANTE (para 14: 12 castores + 2 GC)</t>
        </is>
      </c>
      <c r="D74" s="7" t="inlineStr">
        <is>
          <t>Galletas 14 rulos</t>
        </is>
      </c>
    </row>
    <row r="75">
      <c r="A75" s="16" t="inlineStr">
        <is>
          <t>CASTORES</t>
        </is>
      </c>
      <c r="B75" s="12" t="inlineStr">
        <is>
          <t>19-21/07</t>
        </is>
      </c>
      <c r="C75" s="12" t="inlineStr">
        <is>
          <t>MENÚ VOLANTE (para 14: 12 castores + 2 GC)</t>
        </is>
      </c>
      <c r="D75" s="12" t="inlineStr">
        <is>
          <t>Pasta carbonara 9 paquetes</t>
        </is>
      </c>
    </row>
    <row r="76">
      <c r="A76" s="15" t="inlineStr">
        <is>
          <t>CASTORES</t>
        </is>
      </c>
      <c r="B76" s="7" t="inlineStr">
        <is>
          <t>19-21/07</t>
        </is>
      </c>
      <c r="C76" s="7" t="inlineStr">
        <is>
          <t>MENÚ VOLANTE (para 14: 12 castores + 2 GC)</t>
        </is>
      </c>
      <c r="D76" s="7" t="inlineStr">
        <is>
          <t>Nocilla 2 botes</t>
        </is>
      </c>
    </row>
    <row r="77">
      <c r="A77" s="16" t="inlineStr">
        <is>
          <t>CASTORES</t>
        </is>
      </c>
      <c r="B77" s="12" t="inlineStr">
        <is>
          <t>19-21/07</t>
        </is>
      </c>
      <c r="C77" s="12" t="inlineStr">
        <is>
          <t>MENÚ VOLANTE (para 14: 12 castores + 2 GC)</t>
        </is>
      </c>
      <c r="D77" s="12" t="inlineStr">
        <is>
          <t>Sopa 5 sobres</t>
        </is>
      </c>
    </row>
    <row r="78">
      <c r="A78" s="15" t="inlineStr">
        <is>
          <t>CASTORES</t>
        </is>
      </c>
      <c r="B78" s="7" t="inlineStr">
        <is>
          <t>19-21/07</t>
        </is>
      </c>
      <c r="C78" s="7" t="inlineStr">
        <is>
          <t>MENÚ VOLANTE (para 14: 12 castores + 2 GC)</t>
        </is>
      </c>
      <c r="D78" s="7" t="inlineStr">
        <is>
          <t>Salchichón 1 rulo</t>
        </is>
      </c>
    </row>
    <row r="79">
      <c r="A79" s="16" t="inlineStr">
        <is>
          <t>CASTORES</t>
        </is>
      </c>
      <c r="B79" s="12" t="inlineStr">
        <is>
          <t>19-21/07</t>
        </is>
      </c>
      <c r="C79" s="12" t="inlineStr">
        <is>
          <t>MENÚ VOLANTE (para 14: 12 castores + 2 GC)</t>
        </is>
      </c>
      <c r="D79" s="12" t="inlineStr">
        <is>
          <t>Tang 3 sobres de cada sabor</t>
        </is>
      </c>
    </row>
    <row r="80">
      <c r="A80" s="15" t="inlineStr">
        <is>
          <t>CASTORES</t>
        </is>
      </c>
      <c r="B80" s="7" t="inlineStr">
        <is>
          <t>19-21/07</t>
        </is>
      </c>
      <c r="C80" s="7" t="inlineStr">
        <is>
          <t>MENÚ VOLANTE (para 14: 12 castores + 2 GC)</t>
        </is>
      </c>
      <c r="D80" s="7" t="inlineStr">
        <is>
          <t>Frutos secos variados</t>
        </is>
      </c>
    </row>
    <row r="81">
      <c r="A81" s="16" t="inlineStr">
        <is>
          <t>CASTORES</t>
        </is>
      </c>
      <c r="B81" s="12" t="inlineStr">
        <is>
          <t>19-21/07</t>
        </is>
      </c>
      <c r="C81" s="12" t="inlineStr">
        <is>
          <t>MENÚ VOLANTE (para 14: 12 castores + 2 GC)</t>
        </is>
      </c>
      <c r="D81" s="12" t="inlineStr">
        <is>
          <t>Leche condensada antigoteo 2 botes</t>
        </is>
      </c>
    </row>
    <row r="82">
      <c r="A82" s="15" t="inlineStr">
        <is>
          <t>CASTORES</t>
        </is>
      </c>
      <c r="B82" s="7" t="inlineStr">
        <is>
          <t>19-21/07</t>
        </is>
      </c>
      <c r="C82" s="7" t="inlineStr">
        <is>
          <t>MENÚ VOLANTE (para 14: 12 castores + 2 GC)</t>
        </is>
      </c>
      <c r="D82" s="7" t="inlineStr">
        <is>
          <t>Bolsas zip 1 paquete</t>
        </is>
      </c>
    </row>
    <row r="83">
      <c r="A83" s="16" t="inlineStr">
        <is>
          <t>CASTORES</t>
        </is>
      </c>
      <c r="B83" s="12" t="inlineStr">
        <is>
          <t>19-21/07</t>
        </is>
      </c>
      <c r="C83" s="12" t="inlineStr">
        <is>
          <t>MENÚ VOLANTE (para 14: 12 castores + 2 GC)</t>
        </is>
      </c>
      <c r="D83" s="12" t="inlineStr">
        <is>
          <t>Sal en papel albal (limpieza/material - ver lista principal)</t>
        </is>
      </c>
    </row>
    <row r="84">
      <c r="A84" s="15" t="inlineStr">
        <is>
          <t>CASTORES</t>
        </is>
      </c>
      <c r="B84" s="7" t="inlineStr">
        <is>
          <t>19-21/07</t>
        </is>
      </c>
      <c r="C84" s="7" t="inlineStr">
        <is>
          <t>MENÚ VOLANTE (para 14: 12 castores + 2 GC)</t>
        </is>
      </c>
      <c r="D84" s="7" t="inlineStr">
        <is>
          <t>Fairy (limpieza/material - ver lista principal)</t>
        </is>
      </c>
    </row>
    <row r="85">
      <c r="A85" s="16" t="inlineStr">
        <is>
          <t>CASTORES</t>
        </is>
      </c>
      <c r="B85" s="12" t="inlineStr">
        <is>
          <t>19-21/07</t>
        </is>
      </c>
      <c r="C85" s="12" t="inlineStr">
        <is>
          <t>MENÚ VOLANTE (para 14: 12 castores + 2 GC)</t>
        </is>
      </c>
      <c r="D85" s="12" t="inlineStr">
        <is>
          <t>Estropajo (limpieza/material - ver lista principal)</t>
        </is>
      </c>
    </row>
    <row r="86">
      <c r="A86" s="15" t="inlineStr">
        <is>
          <t>CASTORES</t>
        </is>
      </c>
      <c r="B86" s="7" t="inlineStr">
        <is>
          <t>19-21/07</t>
        </is>
      </c>
      <c r="C86" s="7" t="inlineStr">
        <is>
          <t>MENÚ VOLANTE (para 14: 12 castores + 2 GC)</t>
        </is>
      </c>
      <c r="D86" s="7" t="inlineStr">
        <is>
          <t>Pan 4 barras</t>
        </is>
      </c>
    </row>
    <row r="87">
      <c r="A87" s="16" t="inlineStr">
        <is>
          <t>CASTORES</t>
        </is>
      </c>
      <c r="B87" s="12" t="inlineStr">
        <is>
          <t>19-21/07</t>
        </is>
      </c>
      <c r="C87" s="12" t="inlineStr">
        <is>
          <t>MENÚ VOLANTE (para 14: 12 castores + 2 GC)</t>
        </is>
      </c>
      <c r="D87" s="12" t="inlineStr">
        <is>
          <t>A mayores: bolsas de basura, papel albal, chalecos, papel higiénico, 1 cazuela grande o 2 pequeñas, cuchara de madera, 1 quemador y 1 bombona pequeña desechables, mechero, botiquín, walkie talkies, plato/poto/cubiertos GC (limpieza/material - ver lista principal)</t>
        </is>
      </c>
    </row>
  </sheetData>
  <mergeCells count="2">
    <mergeCell ref="A1:D1"/>
    <mergeCell ref="A64:D6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20" customWidth="1" min="3" max="3"/>
  </cols>
  <sheetData>
    <row r="1" ht="28" customHeight="1">
      <c r="A1" s="5" t="inlineStr">
        <is>
          <t>MATERIAL</t>
        </is>
      </c>
      <c r="B1" s="5" t="inlineStr">
        <is>
          <t>CAJA</t>
        </is>
      </c>
      <c r="C1" s="5" t="inlineStr">
        <is>
          <t>CANTIDAD REPARTIDA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2026-06-12T16:55:57Z</dcterms:created>
  <dcterms:modified xmlns:dcterms="http://purl.org/dc/terms/" xmlns:xsi="http://www.w3.org/2001/XMLSchema-instance" xsi:type="dcterms:W3CDTF">2026-06-12T16:55:57Z</dcterms:modified>
</cp:coreProperties>
</file>